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makh\OneDrive\Desktop\"/>
    </mc:Choice>
  </mc:AlternateContent>
  <xr:revisionPtr revIDLastSave="0" documentId="13_ncr:1_{962095CF-4019-46A8-B3CA-AE7F8241EF8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T Count " sheetId="3" r:id="rId1"/>
  </sheets>
  <definedNames>
    <definedName name="_xlnm.Print_Titles" localSheetId="0">'DT Count 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54" i="3" l="1"/>
  <c r="I54" i="3"/>
  <c r="H54" i="3"/>
  <c r="G54" i="3"/>
  <c r="F54" i="3"/>
  <c r="E54" i="3"/>
  <c r="D54" i="3"/>
  <c r="C54" i="3"/>
  <c r="B54" i="3"/>
  <c r="K53" i="3"/>
  <c r="K52" i="3"/>
  <c r="K51" i="3"/>
  <c r="K50" i="3"/>
  <c r="K49" i="3"/>
  <c r="K48" i="3"/>
  <c r="K47" i="3"/>
  <c r="K46" i="3"/>
  <c r="K45" i="3"/>
  <c r="K44" i="3"/>
  <c r="J43" i="3"/>
  <c r="I43" i="3"/>
  <c r="H43" i="3"/>
  <c r="G43" i="3"/>
  <c r="F43" i="3"/>
  <c r="E43" i="3"/>
  <c r="D43" i="3"/>
  <c r="C43" i="3"/>
  <c r="B43" i="3"/>
  <c r="K42" i="3"/>
  <c r="K41" i="3"/>
  <c r="K40" i="3"/>
  <c r="K39" i="3"/>
  <c r="K38" i="3"/>
  <c r="K37" i="3"/>
  <c r="K36" i="3"/>
  <c r="K35" i="3"/>
  <c r="K34" i="3"/>
  <c r="J33" i="3"/>
  <c r="I33" i="3"/>
  <c r="H33" i="3"/>
  <c r="G33" i="3"/>
  <c r="F33" i="3"/>
  <c r="E33" i="3"/>
  <c r="D33" i="3"/>
  <c r="C33" i="3"/>
  <c r="B33" i="3"/>
  <c r="K32" i="3"/>
  <c r="K31" i="3"/>
  <c r="K30" i="3"/>
  <c r="K29" i="3"/>
  <c r="K28" i="3"/>
  <c r="K27" i="3"/>
  <c r="K26" i="3"/>
  <c r="K25" i="3"/>
  <c r="J24" i="3"/>
  <c r="I24" i="3"/>
  <c r="H24" i="3"/>
  <c r="G24" i="3"/>
  <c r="F24" i="3"/>
  <c r="E24" i="3"/>
  <c r="D24" i="3"/>
  <c r="C24" i="3"/>
  <c r="B24" i="3"/>
  <c r="K23" i="3"/>
  <c r="K22" i="3"/>
  <c r="K21" i="3"/>
  <c r="K20" i="3"/>
  <c r="K19" i="3"/>
  <c r="K18" i="3"/>
  <c r="K17" i="3"/>
  <c r="K16" i="3"/>
  <c r="K15" i="3"/>
  <c r="K14" i="3"/>
  <c r="J13" i="3"/>
  <c r="I13" i="3"/>
  <c r="H13" i="3"/>
  <c r="G13" i="3"/>
  <c r="F13" i="3"/>
  <c r="E13" i="3"/>
  <c r="D13" i="3"/>
  <c r="C13" i="3"/>
  <c r="B13" i="3"/>
  <c r="K12" i="3"/>
  <c r="K11" i="3"/>
  <c r="K10" i="3"/>
  <c r="K9" i="3"/>
  <c r="K8" i="3"/>
  <c r="K7" i="3"/>
  <c r="K6" i="3"/>
  <c r="K5" i="3"/>
  <c r="K4" i="3"/>
  <c r="K3" i="3"/>
  <c r="K2" i="3"/>
  <c r="F55" i="3" l="1"/>
  <c r="H55" i="3"/>
  <c r="J55" i="3"/>
  <c r="G55" i="3"/>
  <c r="I55" i="3"/>
  <c r="K13" i="3"/>
  <c r="B55" i="3"/>
  <c r="C55" i="3"/>
  <c r="K43" i="3"/>
  <c r="K33" i="3"/>
  <c r="D55" i="3"/>
  <c r="K24" i="3"/>
  <c r="E55" i="3"/>
  <c r="K54" i="3"/>
  <c r="K55" i="3" l="1"/>
</calcChain>
</file>

<file path=xl/sharedStrings.xml><?xml version="1.0" encoding="utf-8"?>
<sst xmlns="http://schemas.openxmlformats.org/spreadsheetml/2006/main" count="65" uniqueCount="65">
  <si>
    <t>10 KVA</t>
  </si>
  <si>
    <t>16 KVA</t>
  </si>
  <si>
    <t>25 KVA</t>
  </si>
  <si>
    <t>Fatehpur Old</t>
  </si>
  <si>
    <t>Fatehpur New</t>
  </si>
  <si>
    <t>Fatehpur Tehsil</t>
  </si>
  <si>
    <t>Baddupur</t>
  </si>
  <si>
    <t>Kursi</t>
  </si>
  <si>
    <t>Trilokpur</t>
  </si>
  <si>
    <t>Bhilwal</t>
  </si>
  <si>
    <t>63 KVA</t>
  </si>
  <si>
    <t>100 KVA</t>
  </si>
  <si>
    <t>160 KVA</t>
  </si>
  <si>
    <t>250 KVA</t>
  </si>
  <si>
    <t>400 KVA</t>
  </si>
  <si>
    <t>630 KVA</t>
  </si>
  <si>
    <t xml:space="preserve">Substation Name </t>
  </si>
  <si>
    <t>Obri Old</t>
  </si>
  <si>
    <t>Obri New</t>
  </si>
  <si>
    <t>J P Nagar</t>
  </si>
  <si>
    <t>Palhari Old</t>
  </si>
  <si>
    <t>Palhari New</t>
  </si>
  <si>
    <t>Badel</t>
  </si>
  <si>
    <t>Satrikh</t>
  </si>
  <si>
    <t>Banki</t>
  </si>
  <si>
    <t>Chandauli</t>
  </si>
  <si>
    <t>Dewa</t>
  </si>
  <si>
    <t>Dundpurwa</t>
  </si>
  <si>
    <t xml:space="preserve">EDD Barabanki Total </t>
  </si>
  <si>
    <t>Ramsanehi Ghat</t>
  </si>
  <si>
    <t>Dariyabad</t>
  </si>
  <si>
    <t>Dulhadepur</t>
  </si>
  <si>
    <t>Puredlei</t>
  </si>
  <si>
    <t>Sarai Danauli</t>
  </si>
  <si>
    <t>Tiakit Nagar</t>
  </si>
  <si>
    <t>Kotwadham</t>
  </si>
  <si>
    <t>Safdarganj</t>
  </si>
  <si>
    <t>Zaidpur</t>
  </si>
  <si>
    <t>Mohna</t>
  </si>
  <si>
    <t xml:space="preserve">EDD Ramsanehi Ghat Total </t>
  </si>
  <si>
    <t>Haidergarh Gramin</t>
  </si>
  <si>
    <t>Haidergarh Tehsil</t>
  </si>
  <si>
    <t>Kharsatiya</t>
  </si>
  <si>
    <t>Deviganj</t>
  </si>
  <si>
    <t>Kothi</t>
  </si>
  <si>
    <t>Siddhaur</t>
  </si>
  <si>
    <t>Subeha</t>
  </si>
  <si>
    <t xml:space="preserve">EDD Haidergarh Total </t>
  </si>
  <si>
    <t>Fatehpur IPDS</t>
  </si>
  <si>
    <t>Belhara</t>
  </si>
  <si>
    <t>UPSIDC-I</t>
  </si>
  <si>
    <t>UPSIDC-II</t>
  </si>
  <si>
    <t xml:space="preserve">EDD Fatehpur Total </t>
  </si>
  <si>
    <t>Ramnagar Old</t>
  </si>
  <si>
    <t>Ramnagar Tehsil</t>
  </si>
  <si>
    <t>Ramnagar IPDS</t>
  </si>
  <si>
    <t>Suratganj</t>
  </si>
  <si>
    <t>Sudhiamau</t>
  </si>
  <si>
    <t>Masauli</t>
  </si>
  <si>
    <t>Rasauli</t>
  </si>
  <si>
    <t>Sirauligauspur Old</t>
  </si>
  <si>
    <t>Sirauligauspur Tehsil</t>
  </si>
  <si>
    <t xml:space="preserve">EDD Ramnagar Total </t>
  </si>
  <si>
    <t>Barabanki Circle Total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</si>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</sst>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rgb="FF000000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>
      <protection locked="0"/>
    </xf>
  </cellStyleXfs>
  <cellXfs count="10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4" fillId="2" borderId="1" xfId="2" applyFont="1" applyFill="1" applyBorder="1" applyAlignment="1" applyProtection="1">
      <alignment horizontal="center" vertical="center"/>
    </xf>
    <xf numFmtId="0" fontId="4" fillId="2" borderId="1" xfId="2" applyFont="1" applyFill="1" applyBorder="1" applyAlignment="1" applyProtection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3">
    <cellStyle name="Normal" xfId="0" builtinId="0"/>
    <cellStyle name="Normal 2" xfId="1" xr:uid="{8A857ADC-4087-422C-A984-FF73B1AA6E3C}"/>
    <cellStyle name="Normal 2 2" xfId="2" xr:uid="{7561AE4A-10A7-47D5-A690-5AEDB4EEBC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D0426-A1F7-4051-A2DD-7942EE72C2E5}">
  <dimension ref="A1:K55"/>
  <sheetViews>
    <sheetView tabSelected="1" zoomScale="125" workbookViewId="0">
      <selection activeCell="G19" sqref="G19"/>
    </sheetView>
  </sheetViews>
  <sheetFormatPr defaultRowHeight="13.2" x14ac:dyDescent="0.25"/>
  <cols>
    <col min="1" max="1" width="24.44140625" bestFit="1" customWidth="1"/>
  </cols>
  <sheetData>
    <row r="1" spans="1:11" x14ac:dyDescent="0.25">
      <c r="A1" s="6" t="s">
        <v>16</v>
      </c>
      <c r="B1" s="6" t="s">
        <v>0</v>
      </c>
      <c r="C1" s="6" t="s">
        <v>1</v>
      </c>
      <c r="D1" s="6" t="s">
        <v>2</v>
      </c>
      <c r="E1" s="6" t="s">
        <v>10</v>
      </c>
      <c r="F1" s="6" t="s">
        <v>11</v>
      </c>
      <c r="G1" s="6" t="s">
        <v>12</v>
      </c>
      <c r="H1" s="6" t="s">
        <v>13</v>
      </c>
      <c r="I1" s="6" t="s">
        <v>14</v>
      </c>
      <c r="J1" s="6" t="s">
        <v>15</v>
      </c>
      <c r="K1" s="6" t="s">
        <v>64</v>
      </c>
    </row>
    <row r="2" spans="1:11" x14ac:dyDescent="0.25">
      <c r="A2" s="2" t="s">
        <v>17</v>
      </c>
      <c r="B2" s="4">
        <v>0</v>
      </c>
      <c r="C2" s="4">
        <v>0</v>
      </c>
      <c r="D2" s="4">
        <v>30</v>
      </c>
      <c r="E2" s="4">
        <v>14</v>
      </c>
      <c r="F2" s="4">
        <v>36</v>
      </c>
      <c r="G2" s="4">
        <v>1</v>
      </c>
      <c r="H2" s="4">
        <v>55</v>
      </c>
      <c r="I2" s="4">
        <v>30</v>
      </c>
      <c r="J2" s="4">
        <v>5</v>
      </c>
      <c r="K2" s="5">
        <f t="shared" ref="K2:K32" si="0">SUM(B2:J2)</f>
        <v>171</v>
      </c>
    </row>
    <row r="3" spans="1:11" x14ac:dyDescent="0.25">
      <c r="A3" s="2" t="s">
        <v>18</v>
      </c>
      <c r="B3" s="4">
        <v>1</v>
      </c>
      <c r="C3" s="4">
        <v>4</v>
      </c>
      <c r="D3" s="4">
        <v>13</v>
      </c>
      <c r="E3" s="4">
        <v>13</v>
      </c>
      <c r="F3" s="4">
        <v>9</v>
      </c>
      <c r="G3" s="4">
        <v>1</v>
      </c>
      <c r="H3" s="4">
        <v>23</v>
      </c>
      <c r="I3" s="4">
        <v>3</v>
      </c>
      <c r="J3" s="4">
        <v>0</v>
      </c>
      <c r="K3" s="5">
        <f t="shared" si="0"/>
        <v>67</v>
      </c>
    </row>
    <row r="4" spans="1:11" x14ac:dyDescent="0.25">
      <c r="A4" s="2" t="s">
        <v>19</v>
      </c>
      <c r="B4" s="4">
        <v>75</v>
      </c>
      <c r="C4" s="4">
        <v>67</v>
      </c>
      <c r="D4" s="4">
        <v>62</v>
      </c>
      <c r="E4" s="4">
        <v>29</v>
      </c>
      <c r="F4" s="4">
        <v>13</v>
      </c>
      <c r="G4" s="4">
        <v>20</v>
      </c>
      <c r="H4" s="4">
        <v>7</v>
      </c>
      <c r="I4" s="4">
        <v>2</v>
      </c>
      <c r="J4" s="4">
        <v>0</v>
      </c>
      <c r="K4" s="5">
        <f t="shared" si="0"/>
        <v>275</v>
      </c>
    </row>
    <row r="5" spans="1:11" x14ac:dyDescent="0.25">
      <c r="A5" s="2" t="s">
        <v>20</v>
      </c>
      <c r="B5" s="4">
        <v>16</v>
      </c>
      <c r="C5" s="4">
        <v>11</v>
      </c>
      <c r="D5" s="4">
        <v>91</v>
      </c>
      <c r="E5" s="4">
        <v>30</v>
      </c>
      <c r="F5" s="4">
        <v>37</v>
      </c>
      <c r="G5" s="4">
        <v>3</v>
      </c>
      <c r="H5" s="4">
        <v>79</v>
      </c>
      <c r="I5" s="4">
        <v>21</v>
      </c>
      <c r="J5" s="4">
        <v>5</v>
      </c>
      <c r="K5" s="5">
        <f t="shared" si="0"/>
        <v>293</v>
      </c>
    </row>
    <row r="6" spans="1:11" x14ac:dyDescent="0.25">
      <c r="A6" s="2" t="s">
        <v>21</v>
      </c>
      <c r="B6" s="4">
        <v>0</v>
      </c>
      <c r="C6" s="4">
        <v>0</v>
      </c>
      <c r="D6" s="4">
        <v>3</v>
      </c>
      <c r="E6" s="4">
        <v>1</v>
      </c>
      <c r="F6" s="4">
        <v>4</v>
      </c>
      <c r="G6" s="4">
        <v>0</v>
      </c>
      <c r="H6" s="4">
        <v>16</v>
      </c>
      <c r="I6" s="4">
        <v>4</v>
      </c>
      <c r="J6" s="4">
        <v>1</v>
      </c>
      <c r="K6" s="5">
        <f t="shared" si="0"/>
        <v>29</v>
      </c>
    </row>
    <row r="7" spans="1:11" x14ac:dyDescent="0.25">
      <c r="A7" s="2" t="s">
        <v>22</v>
      </c>
      <c r="B7" s="4">
        <v>208</v>
      </c>
      <c r="C7" s="4">
        <v>217</v>
      </c>
      <c r="D7" s="4">
        <v>452</v>
      </c>
      <c r="E7" s="4">
        <v>53</v>
      </c>
      <c r="F7" s="4">
        <v>18</v>
      </c>
      <c r="G7" s="4">
        <v>0</v>
      </c>
      <c r="H7" s="4">
        <v>3</v>
      </c>
      <c r="I7" s="4">
        <v>2</v>
      </c>
      <c r="J7" s="4">
        <v>0</v>
      </c>
      <c r="K7" s="5">
        <f t="shared" si="0"/>
        <v>953</v>
      </c>
    </row>
    <row r="8" spans="1:11" x14ac:dyDescent="0.25">
      <c r="A8" s="2" t="s">
        <v>23</v>
      </c>
      <c r="B8" s="4">
        <v>47</v>
      </c>
      <c r="C8" s="4">
        <v>40</v>
      </c>
      <c r="D8" s="4">
        <v>127</v>
      </c>
      <c r="E8" s="4">
        <v>25</v>
      </c>
      <c r="F8" s="4">
        <v>11</v>
      </c>
      <c r="G8" s="4">
        <v>0</v>
      </c>
      <c r="H8" s="4">
        <v>3</v>
      </c>
      <c r="I8" s="4">
        <v>2</v>
      </c>
      <c r="J8" s="4">
        <v>0</v>
      </c>
      <c r="K8" s="5">
        <f t="shared" si="0"/>
        <v>255</v>
      </c>
    </row>
    <row r="9" spans="1:11" x14ac:dyDescent="0.25">
      <c r="A9" s="2" t="s">
        <v>24</v>
      </c>
      <c r="B9" s="4">
        <v>73</v>
      </c>
      <c r="C9" s="4">
        <v>99</v>
      </c>
      <c r="D9" s="4">
        <v>37</v>
      </c>
      <c r="E9" s="4">
        <v>30</v>
      </c>
      <c r="F9" s="4">
        <v>11</v>
      </c>
      <c r="G9" s="4">
        <v>0</v>
      </c>
      <c r="H9" s="4">
        <v>8</v>
      </c>
      <c r="I9" s="4">
        <v>6</v>
      </c>
      <c r="J9" s="4">
        <v>0</v>
      </c>
      <c r="K9" s="5">
        <f t="shared" si="0"/>
        <v>264</v>
      </c>
    </row>
    <row r="10" spans="1:11" x14ac:dyDescent="0.25">
      <c r="A10" s="2" t="s">
        <v>25</v>
      </c>
      <c r="B10" s="4">
        <v>96</v>
      </c>
      <c r="C10" s="4">
        <v>218</v>
      </c>
      <c r="D10" s="4">
        <v>101</v>
      </c>
      <c r="E10" s="4">
        <v>45</v>
      </c>
      <c r="F10" s="4">
        <v>16</v>
      </c>
      <c r="G10" s="4">
        <v>0</v>
      </c>
      <c r="H10" s="4">
        <v>24</v>
      </c>
      <c r="I10" s="4">
        <v>1</v>
      </c>
      <c r="J10" s="4">
        <v>0</v>
      </c>
      <c r="K10" s="5">
        <f t="shared" si="0"/>
        <v>501</v>
      </c>
    </row>
    <row r="11" spans="1:11" x14ac:dyDescent="0.25">
      <c r="A11" s="2" t="s">
        <v>26</v>
      </c>
      <c r="B11" s="4">
        <v>104</v>
      </c>
      <c r="C11" s="4">
        <v>188</v>
      </c>
      <c r="D11" s="4">
        <v>59</v>
      </c>
      <c r="E11" s="4">
        <v>18</v>
      </c>
      <c r="F11" s="4">
        <v>11</v>
      </c>
      <c r="G11" s="4">
        <v>1</v>
      </c>
      <c r="H11" s="4">
        <v>11</v>
      </c>
      <c r="I11" s="4">
        <v>14</v>
      </c>
      <c r="J11" s="4">
        <v>0</v>
      </c>
      <c r="K11" s="5">
        <f t="shared" si="0"/>
        <v>406</v>
      </c>
    </row>
    <row r="12" spans="1:11" x14ac:dyDescent="0.25">
      <c r="A12" s="2" t="s">
        <v>27</v>
      </c>
      <c r="B12" s="4">
        <v>103</v>
      </c>
      <c r="C12" s="4">
        <v>156</v>
      </c>
      <c r="D12" s="4">
        <v>137</v>
      </c>
      <c r="E12" s="4">
        <v>54</v>
      </c>
      <c r="F12" s="4">
        <v>28</v>
      </c>
      <c r="G12" s="4">
        <v>0</v>
      </c>
      <c r="H12" s="4">
        <v>12</v>
      </c>
      <c r="I12" s="4">
        <v>11</v>
      </c>
      <c r="J12" s="4">
        <v>1</v>
      </c>
      <c r="K12" s="5">
        <f t="shared" si="0"/>
        <v>502</v>
      </c>
    </row>
    <row r="13" spans="1:11" x14ac:dyDescent="0.25">
      <c r="A13" s="8" t="s">
        <v>28</v>
      </c>
      <c r="B13" s="5">
        <f>SUM(B2:B12)</f>
        <v>723</v>
      </c>
      <c r="C13" s="5">
        <f t="shared" ref="C13:J13" si="1">SUM(C2:C12)</f>
        <v>1000</v>
      </c>
      <c r="D13" s="5">
        <f t="shared" si="1"/>
        <v>1112</v>
      </c>
      <c r="E13" s="5">
        <f t="shared" si="1"/>
        <v>312</v>
      </c>
      <c r="F13" s="5">
        <f t="shared" si="1"/>
        <v>194</v>
      </c>
      <c r="G13" s="5">
        <f t="shared" si="1"/>
        <v>26</v>
      </c>
      <c r="H13" s="5">
        <f t="shared" si="1"/>
        <v>241</v>
      </c>
      <c r="I13" s="5">
        <f t="shared" si="1"/>
        <v>96</v>
      </c>
      <c r="J13" s="5">
        <f t="shared" si="1"/>
        <v>12</v>
      </c>
      <c r="K13" s="5">
        <f t="shared" si="0"/>
        <v>3716</v>
      </c>
    </row>
    <row r="14" spans="1:11" x14ac:dyDescent="0.25">
      <c r="A14" s="3" t="s">
        <v>29</v>
      </c>
      <c r="B14" s="4">
        <v>214</v>
      </c>
      <c r="C14" s="4">
        <v>241</v>
      </c>
      <c r="D14" s="4">
        <v>778</v>
      </c>
      <c r="E14" s="4">
        <v>56</v>
      </c>
      <c r="F14" s="4">
        <v>13</v>
      </c>
      <c r="G14" s="4">
        <v>0</v>
      </c>
      <c r="H14" s="4">
        <v>10</v>
      </c>
      <c r="I14" s="4">
        <v>4</v>
      </c>
      <c r="J14" s="4">
        <v>0</v>
      </c>
      <c r="K14" s="5">
        <f t="shared" si="0"/>
        <v>1316</v>
      </c>
    </row>
    <row r="15" spans="1:11" x14ac:dyDescent="0.25">
      <c r="A15" s="3" t="s">
        <v>30</v>
      </c>
      <c r="B15" s="4">
        <v>105</v>
      </c>
      <c r="C15" s="4">
        <v>106</v>
      </c>
      <c r="D15" s="4">
        <v>145</v>
      </c>
      <c r="E15" s="4">
        <v>20</v>
      </c>
      <c r="F15" s="4">
        <v>10</v>
      </c>
      <c r="G15" s="4">
        <v>0</v>
      </c>
      <c r="H15" s="4">
        <v>13</v>
      </c>
      <c r="I15" s="4">
        <v>1</v>
      </c>
      <c r="J15" s="4">
        <v>0</v>
      </c>
      <c r="K15" s="5">
        <f t="shared" si="0"/>
        <v>400</v>
      </c>
    </row>
    <row r="16" spans="1:11" x14ac:dyDescent="0.25">
      <c r="A16" s="3" t="s">
        <v>31</v>
      </c>
      <c r="B16" s="4">
        <v>299</v>
      </c>
      <c r="C16" s="4">
        <v>298</v>
      </c>
      <c r="D16" s="4">
        <v>791</v>
      </c>
      <c r="E16" s="4">
        <v>41</v>
      </c>
      <c r="F16" s="4">
        <v>25</v>
      </c>
      <c r="G16" s="4">
        <v>0</v>
      </c>
      <c r="H16" s="4">
        <v>5</v>
      </c>
      <c r="I16" s="4">
        <v>2</v>
      </c>
      <c r="J16" s="4">
        <v>0</v>
      </c>
      <c r="K16" s="5">
        <f t="shared" si="0"/>
        <v>1461</v>
      </c>
    </row>
    <row r="17" spans="1:11" x14ac:dyDescent="0.25">
      <c r="A17" s="3" t="s">
        <v>32</v>
      </c>
      <c r="B17" s="4">
        <v>208</v>
      </c>
      <c r="C17" s="4">
        <v>176</v>
      </c>
      <c r="D17" s="4">
        <v>209</v>
      </c>
      <c r="E17" s="4">
        <v>18</v>
      </c>
      <c r="F17" s="4">
        <v>3</v>
      </c>
      <c r="G17" s="4">
        <v>0</v>
      </c>
      <c r="H17" s="4">
        <v>15</v>
      </c>
      <c r="I17" s="4">
        <v>0</v>
      </c>
      <c r="J17" s="4">
        <v>0</v>
      </c>
      <c r="K17" s="5">
        <f t="shared" si="0"/>
        <v>629</v>
      </c>
    </row>
    <row r="18" spans="1:11" x14ac:dyDescent="0.25">
      <c r="A18" s="3" t="s">
        <v>33</v>
      </c>
      <c r="B18" s="4">
        <v>46</v>
      </c>
      <c r="C18" s="4">
        <v>47</v>
      </c>
      <c r="D18" s="4">
        <v>62</v>
      </c>
      <c r="E18" s="4">
        <v>5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5">
        <f t="shared" si="0"/>
        <v>160</v>
      </c>
    </row>
    <row r="19" spans="1:11" x14ac:dyDescent="0.25">
      <c r="A19" s="3" t="s">
        <v>34</v>
      </c>
      <c r="B19" s="4">
        <v>127</v>
      </c>
      <c r="C19" s="4">
        <v>119</v>
      </c>
      <c r="D19" s="4">
        <v>91</v>
      </c>
      <c r="E19" s="4">
        <v>24</v>
      </c>
      <c r="F19" s="4">
        <v>11</v>
      </c>
      <c r="G19" s="4">
        <v>0</v>
      </c>
      <c r="H19" s="4">
        <v>10</v>
      </c>
      <c r="I19" s="4">
        <v>3</v>
      </c>
      <c r="J19" s="4">
        <v>0</v>
      </c>
      <c r="K19" s="5">
        <f t="shared" si="0"/>
        <v>385</v>
      </c>
    </row>
    <row r="20" spans="1:11" x14ac:dyDescent="0.25">
      <c r="A20" s="3" t="s">
        <v>35</v>
      </c>
      <c r="B20" s="4">
        <v>31</v>
      </c>
      <c r="C20" s="4">
        <v>49</v>
      </c>
      <c r="D20" s="4">
        <v>12</v>
      </c>
      <c r="E20" s="4">
        <v>8</v>
      </c>
      <c r="F20" s="4">
        <v>3</v>
      </c>
      <c r="G20" s="4">
        <v>0</v>
      </c>
      <c r="H20" s="4">
        <v>0</v>
      </c>
      <c r="I20" s="4">
        <v>0</v>
      </c>
      <c r="J20" s="4">
        <v>0</v>
      </c>
      <c r="K20" s="5">
        <f t="shared" si="0"/>
        <v>103</v>
      </c>
    </row>
    <row r="21" spans="1:11" x14ac:dyDescent="0.25">
      <c r="A21" s="3" t="s">
        <v>36</v>
      </c>
      <c r="B21" s="4">
        <v>120</v>
      </c>
      <c r="C21" s="4">
        <v>192</v>
      </c>
      <c r="D21" s="4">
        <v>117</v>
      </c>
      <c r="E21" s="4">
        <v>8</v>
      </c>
      <c r="F21" s="4">
        <v>10</v>
      </c>
      <c r="G21" s="4">
        <v>0</v>
      </c>
      <c r="H21" s="4">
        <v>15</v>
      </c>
      <c r="I21" s="4">
        <v>0</v>
      </c>
      <c r="J21" s="4">
        <v>0</v>
      </c>
      <c r="K21" s="5">
        <f t="shared" si="0"/>
        <v>462</v>
      </c>
    </row>
    <row r="22" spans="1:11" x14ac:dyDescent="0.25">
      <c r="A22" s="3" t="s">
        <v>37</v>
      </c>
      <c r="B22" s="4">
        <v>274</v>
      </c>
      <c r="C22" s="4">
        <v>231</v>
      </c>
      <c r="D22" s="4">
        <v>832</v>
      </c>
      <c r="E22" s="4">
        <v>38</v>
      </c>
      <c r="F22" s="4">
        <v>33</v>
      </c>
      <c r="G22" s="4">
        <v>0</v>
      </c>
      <c r="H22" s="4">
        <v>11</v>
      </c>
      <c r="I22" s="4">
        <v>11</v>
      </c>
      <c r="J22" s="4">
        <v>0</v>
      </c>
      <c r="K22" s="5">
        <f t="shared" si="0"/>
        <v>1430</v>
      </c>
    </row>
    <row r="23" spans="1:11" x14ac:dyDescent="0.25">
      <c r="A23" s="3" t="s">
        <v>38</v>
      </c>
      <c r="B23" s="4">
        <v>79</v>
      </c>
      <c r="C23" s="4">
        <v>107</v>
      </c>
      <c r="D23" s="4">
        <v>140</v>
      </c>
      <c r="E23" s="4">
        <v>20</v>
      </c>
      <c r="F23" s="4">
        <v>8</v>
      </c>
      <c r="G23" s="4">
        <v>0</v>
      </c>
      <c r="H23" s="4">
        <v>0</v>
      </c>
      <c r="I23" s="4">
        <v>3</v>
      </c>
      <c r="J23" s="4">
        <v>0</v>
      </c>
      <c r="K23" s="5">
        <f t="shared" si="0"/>
        <v>357</v>
      </c>
    </row>
    <row r="24" spans="1:11" x14ac:dyDescent="0.25">
      <c r="A24" s="9" t="s">
        <v>39</v>
      </c>
      <c r="B24" s="5">
        <f>SUM(B14:B23)</f>
        <v>1503</v>
      </c>
      <c r="C24" s="5">
        <f t="shared" ref="C24:J24" si="2">SUM(C14:C23)</f>
        <v>1566</v>
      </c>
      <c r="D24" s="5">
        <f t="shared" si="2"/>
        <v>3177</v>
      </c>
      <c r="E24" s="5">
        <f t="shared" si="2"/>
        <v>238</v>
      </c>
      <c r="F24" s="5">
        <f t="shared" si="2"/>
        <v>116</v>
      </c>
      <c r="G24" s="5">
        <f t="shared" si="2"/>
        <v>0</v>
      </c>
      <c r="H24" s="5">
        <f t="shared" si="2"/>
        <v>79</v>
      </c>
      <c r="I24" s="5">
        <f t="shared" si="2"/>
        <v>24</v>
      </c>
      <c r="J24" s="5">
        <f t="shared" si="2"/>
        <v>0</v>
      </c>
      <c r="K24" s="5">
        <f t="shared" si="0"/>
        <v>6703</v>
      </c>
    </row>
    <row r="25" spans="1:11" x14ac:dyDescent="0.25">
      <c r="A25" s="2" t="s">
        <v>40</v>
      </c>
      <c r="B25" s="4">
        <v>293</v>
      </c>
      <c r="C25" s="4">
        <v>663</v>
      </c>
      <c r="D25" s="4">
        <v>244</v>
      </c>
      <c r="E25" s="4">
        <v>68</v>
      </c>
      <c r="F25" s="4">
        <v>25</v>
      </c>
      <c r="G25" s="4">
        <v>0</v>
      </c>
      <c r="H25" s="4">
        <v>7</v>
      </c>
      <c r="I25" s="4">
        <v>0</v>
      </c>
      <c r="J25" s="4">
        <v>0</v>
      </c>
      <c r="K25" s="5">
        <f t="shared" si="0"/>
        <v>1300</v>
      </c>
    </row>
    <row r="26" spans="1:11" x14ac:dyDescent="0.25">
      <c r="A26" s="2" t="s">
        <v>41</v>
      </c>
      <c r="B26" s="4">
        <v>0</v>
      </c>
      <c r="C26" s="4">
        <v>0</v>
      </c>
      <c r="D26" s="4">
        <v>0</v>
      </c>
      <c r="E26" s="4">
        <v>0</v>
      </c>
      <c r="F26" s="4">
        <v>1</v>
      </c>
      <c r="G26" s="4">
        <v>0</v>
      </c>
      <c r="H26" s="4">
        <v>0</v>
      </c>
      <c r="I26" s="4">
        <v>0</v>
      </c>
      <c r="J26" s="4">
        <v>0</v>
      </c>
      <c r="K26" s="5">
        <f t="shared" si="0"/>
        <v>1</v>
      </c>
    </row>
    <row r="27" spans="1:11" x14ac:dyDescent="0.25">
      <c r="A27" s="2" t="s">
        <v>42</v>
      </c>
      <c r="B27" s="4">
        <v>3</v>
      </c>
      <c r="C27" s="4">
        <v>3</v>
      </c>
      <c r="D27" s="4">
        <v>14</v>
      </c>
      <c r="E27" s="4">
        <v>4</v>
      </c>
      <c r="F27" s="4">
        <v>11</v>
      </c>
      <c r="G27" s="4">
        <v>2</v>
      </c>
      <c r="H27" s="4">
        <v>12</v>
      </c>
      <c r="I27" s="4">
        <v>7</v>
      </c>
      <c r="J27" s="4">
        <v>0</v>
      </c>
      <c r="K27" s="5">
        <f t="shared" si="0"/>
        <v>56</v>
      </c>
    </row>
    <row r="28" spans="1:11" x14ac:dyDescent="0.25">
      <c r="A28" s="2" t="s">
        <v>9</v>
      </c>
      <c r="B28" s="4">
        <v>137</v>
      </c>
      <c r="C28" s="4">
        <v>151</v>
      </c>
      <c r="D28" s="4">
        <v>246</v>
      </c>
      <c r="E28" s="4">
        <v>26</v>
      </c>
      <c r="F28" s="4">
        <v>12</v>
      </c>
      <c r="G28" s="4">
        <v>0</v>
      </c>
      <c r="H28" s="4">
        <v>3</v>
      </c>
      <c r="I28" s="4">
        <v>1</v>
      </c>
      <c r="J28" s="4">
        <v>0</v>
      </c>
      <c r="K28" s="5">
        <f t="shared" si="0"/>
        <v>576</v>
      </c>
    </row>
    <row r="29" spans="1:11" x14ac:dyDescent="0.25">
      <c r="A29" s="2" t="s">
        <v>43</v>
      </c>
      <c r="B29" s="4">
        <v>260</v>
      </c>
      <c r="C29" s="4">
        <v>488</v>
      </c>
      <c r="D29" s="4">
        <v>1269</v>
      </c>
      <c r="E29" s="4">
        <v>49</v>
      </c>
      <c r="F29" s="4">
        <v>15</v>
      </c>
      <c r="G29" s="4">
        <v>0</v>
      </c>
      <c r="H29" s="4">
        <v>8</v>
      </c>
      <c r="I29" s="4">
        <v>0</v>
      </c>
      <c r="J29" s="4">
        <v>1</v>
      </c>
      <c r="K29" s="5">
        <f t="shared" si="0"/>
        <v>2090</v>
      </c>
    </row>
    <row r="30" spans="1:11" x14ac:dyDescent="0.25">
      <c r="A30" s="2" t="s">
        <v>44</v>
      </c>
      <c r="B30" s="4">
        <v>102</v>
      </c>
      <c r="C30" s="4">
        <v>171</v>
      </c>
      <c r="D30" s="4">
        <v>347</v>
      </c>
      <c r="E30" s="4">
        <v>9</v>
      </c>
      <c r="F30" s="4">
        <v>8</v>
      </c>
      <c r="G30" s="4">
        <v>0</v>
      </c>
      <c r="H30" s="4">
        <v>4</v>
      </c>
      <c r="I30" s="4">
        <v>0</v>
      </c>
      <c r="J30" s="4">
        <v>0</v>
      </c>
      <c r="K30" s="5">
        <f t="shared" si="0"/>
        <v>641</v>
      </c>
    </row>
    <row r="31" spans="1:11" x14ac:dyDescent="0.25">
      <c r="A31" s="2" t="s">
        <v>45</v>
      </c>
      <c r="B31" s="4">
        <v>73</v>
      </c>
      <c r="C31" s="4">
        <v>65</v>
      </c>
      <c r="D31" s="4">
        <v>430</v>
      </c>
      <c r="E31" s="4">
        <v>14</v>
      </c>
      <c r="F31" s="4">
        <v>8</v>
      </c>
      <c r="G31" s="4">
        <v>0</v>
      </c>
      <c r="H31" s="4">
        <v>5</v>
      </c>
      <c r="I31" s="4">
        <v>3</v>
      </c>
      <c r="J31" s="4">
        <v>0</v>
      </c>
      <c r="K31" s="5">
        <f t="shared" si="0"/>
        <v>598</v>
      </c>
    </row>
    <row r="32" spans="1:11" x14ac:dyDescent="0.25">
      <c r="A32" s="2" t="s">
        <v>46</v>
      </c>
      <c r="B32" s="4">
        <v>327</v>
      </c>
      <c r="C32" s="4">
        <v>402</v>
      </c>
      <c r="D32" s="4">
        <v>328</v>
      </c>
      <c r="E32" s="4">
        <v>24</v>
      </c>
      <c r="F32" s="4">
        <v>19</v>
      </c>
      <c r="G32" s="4">
        <v>1</v>
      </c>
      <c r="H32" s="4">
        <v>5</v>
      </c>
      <c r="I32" s="4">
        <v>1</v>
      </c>
      <c r="J32" s="4">
        <v>0</v>
      </c>
      <c r="K32" s="5">
        <f t="shared" si="0"/>
        <v>1107</v>
      </c>
    </row>
    <row r="33" spans="1:11" x14ac:dyDescent="0.25">
      <c r="A33" s="8" t="s">
        <v>47</v>
      </c>
      <c r="B33" s="5">
        <f>SUM(B25:B32)</f>
        <v>1195</v>
      </c>
      <c r="C33" s="5">
        <f t="shared" ref="C33:K33" si="3">SUM(C25:C32)</f>
        <v>1943</v>
      </c>
      <c r="D33" s="5">
        <f t="shared" si="3"/>
        <v>2878</v>
      </c>
      <c r="E33" s="5">
        <f t="shared" si="3"/>
        <v>194</v>
      </c>
      <c r="F33" s="5">
        <f t="shared" si="3"/>
        <v>99</v>
      </c>
      <c r="G33" s="5">
        <f t="shared" si="3"/>
        <v>3</v>
      </c>
      <c r="H33" s="5">
        <f t="shared" si="3"/>
        <v>44</v>
      </c>
      <c r="I33" s="5">
        <f t="shared" si="3"/>
        <v>12</v>
      </c>
      <c r="J33" s="5">
        <f t="shared" si="3"/>
        <v>1</v>
      </c>
      <c r="K33" s="5">
        <f t="shared" si="3"/>
        <v>6369</v>
      </c>
    </row>
    <row r="34" spans="1:11" x14ac:dyDescent="0.25">
      <c r="A34" s="2" t="s">
        <v>4</v>
      </c>
      <c r="B34" s="4">
        <v>92</v>
      </c>
      <c r="C34" s="4">
        <v>205</v>
      </c>
      <c r="D34" s="4">
        <v>101</v>
      </c>
      <c r="E34" s="4">
        <v>27</v>
      </c>
      <c r="F34" s="4">
        <v>14</v>
      </c>
      <c r="G34" s="4">
        <v>0</v>
      </c>
      <c r="H34" s="4">
        <v>5</v>
      </c>
      <c r="I34" s="4">
        <v>0</v>
      </c>
      <c r="J34" s="4">
        <v>0</v>
      </c>
      <c r="K34" s="5">
        <f t="shared" ref="K34:K42" si="4">SUM(B34:J34)</f>
        <v>444</v>
      </c>
    </row>
    <row r="35" spans="1:11" x14ac:dyDescent="0.25">
      <c r="A35" s="2" t="s">
        <v>48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5">
        <f t="shared" si="4"/>
        <v>0</v>
      </c>
    </row>
    <row r="36" spans="1:11" x14ac:dyDescent="0.25">
      <c r="A36" s="2" t="s">
        <v>5</v>
      </c>
      <c r="B36" s="4">
        <v>0</v>
      </c>
      <c r="C36" s="4">
        <v>0</v>
      </c>
      <c r="D36" s="4">
        <v>9</v>
      </c>
      <c r="E36" s="4">
        <v>10</v>
      </c>
      <c r="F36" s="4">
        <v>8</v>
      </c>
      <c r="G36" s="4">
        <v>0</v>
      </c>
      <c r="H36" s="4">
        <v>22</v>
      </c>
      <c r="I36" s="4">
        <v>9</v>
      </c>
      <c r="J36" s="4">
        <v>0</v>
      </c>
      <c r="K36" s="5">
        <f t="shared" si="4"/>
        <v>58</v>
      </c>
    </row>
    <row r="37" spans="1:11" x14ac:dyDescent="0.25">
      <c r="A37" s="2" t="s">
        <v>3</v>
      </c>
      <c r="B37" s="4">
        <v>128</v>
      </c>
      <c r="C37" s="4">
        <v>153</v>
      </c>
      <c r="D37" s="4">
        <v>217</v>
      </c>
      <c r="E37" s="4">
        <v>32</v>
      </c>
      <c r="F37" s="4">
        <v>9</v>
      </c>
      <c r="G37" s="4">
        <v>0</v>
      </c>
      <c r="H37" s="4">
        <v>3</v>
      </c>
      <c r="I37" s="4">
        <v>0</v>
      </c>
      <c r="J37" s="4">
        <v>0</v>
      </c>
      <c r="K37" s="5">
        <f t="shared" si="4"/>
        <v>542</v>
      </c>
    </row>
    <row r="38" spans="1:11" x14ac:dyDescent="0.25">
      <c r="A38" s="2" t="s">
        <v>6</v>
      </c>
      <c r="B38" s="4">
        <v>184</v>
      </c>
      <c r="C38" s="4">
        <v>198</v>
      </c>
      <c r="D38" s="4">
        <v>396</v>
      </c>
      <c r="E38" s="4">
        <v>16</v>
      </c>
      <c r="F38" s="4">
        <v>2</v>
      </c>
      <c r="G38" s="4">
        <v>0</v>
      </c>
      <c r="H38" s="4">
        <v>2</v>
      </c>
      <c r="I38" s="4">
        <v>0</v>
      </c>
      <c r="J38" s="4">
        <v>0</v>
      </c>
      <c r="K38" s="5">
        <f t="shared" si="4"/>
        <v>798</v>
      </c>
    </row>
    <row r="39" spans="1:11" x14ac:dyDescent="0.25">
      <c r="A39" s="2" t="s">
        <v>49</v>
      </c>
      <c r="B39" s="4">
        <v>75</v>
      </c>
      <c r="C39" s="4">
        <v>158</v>
      </c>
      <c r="D39" s="4">
        <v>114</v>
      </c>
      <c r="E39" s="4">
        <v>3</v>
      </c>
      <c r="F39" s="4">
        <v>0</v>
      </c>
      <c r="G39" s="4">
        <v>0</v>
      </c>
      <c r="H39" s="4">
        <v>3</v>
      </c>
      <c r="I39" s="4">
        <v>2</v>
      </c>
      <c r="J39" s="4">
        <v>0</v>
      </c>
      <c r="K39" s="5">
        <f t="shared" si="4"/>
        <v>355</v>
      </c>
    </row>
    <row r="40" spans="1:11" x14ac:dyDescent="0.25">
      <c r="A40" s="2" t="s">
        <v>7</v>
      </c>
      <c r="B40" s="4">
        <v>771</v>
      </c>
      <c r="C40" s="4">
        <v>1120</v>
      </c>
      <c r="D40" s="4">
        <v>725</v>
      </c>
      <c r="E40" s="4">
        <v>71</v>
      </c>
      <c r="F40" s="4">
        <v>35</v>
      </c>
      <c r="G40" s="4">
        <v>0</v>
      </c>
      <c r="H40" s="4">
        <v>17</v>
      </c>
      <c r="I40" s="4">
        <v>8</v>
      </c>
      <c r="J40" s="4">
        <v>0</v>
      </c>
      <c r="K40" s="5">
        <f t="shared" si="4"/>
        <v>2747</v>
      </c>
    </row>
    <row r="41" spans="1:11" x14ac:dyDescent="0.25">
      <c r="A41" s="2" t="s">
        <v>50</v>
      </c>
      <c r="B41" s="4">
        <v>0</v>
      </c>
      <c r="C41" s="4">
        <v>0</v>
      </c>
      <c r="D41" s="4">
        <v>1</v>
      </c>
      <c r="E41" s="4">
        <v>0</v>
      </c>
      <c r="F41" s="4">
        <v>2</v>
      </c>
      <c r="G41" s="4">
        <v>1</v>
      </c>
      <c r="H41" s="4">
        <v>2</v>
      </c>
      <c r="I41" s="4">
        <v>5</v>
      </c>
      <c r="J41" s="4">
        <v>0</v>
      </c>
      <c r="K41" s="5">
        <f t="shared" si="4"/>
        <v>11</v>
      </c>
    </row>
    <row r="42" spans="1:11" x14ac:dyDescent="0.25">
      <c r="A42" s="2" t="s">
        <v>51</v>
      </c>
      <c r="B42" s="4">
        <v>0</v>
      </c>
      <c r="C42" s="4">
        <v>0</v>
      </c>
      <c r="D42" s="4">
        <v>1</v>
      </c>
      <c r="E42" s="4">
        <v>0</v>
      </c>
      <c r="F42" s="4">
        <v>0</v>
      </c>
      <c r="G42" s="4">
        <v>0</v>
      </c>
      <c r="H42" s="4">
        <v>2</v>
      </c>
      <c r="I42" s="4">
        <v>2</v>
      </c>
      <c r="J42" s="4">
        <v>0</v>
      </c>
      <c r="K42" s="5">
        <f t="shared" si="4"/>
        <v>5</v>
      </c>
    </row>
    <row r="43" spans="1:11" x14ac:dyDescent="0.25">
      <c r="A43" s="8" t="s">
        <v>52</v>
      </c>
      <c r="B43" s="5">
        <f>SUM(B34:B42)</f>
        <v>1250</v>
      </c>
      <c r="C43" s="5">
        <f t="shared" ref="C43:K43" si="5">SUM(C34:C42)</f>
        <v>1834</v>
      </c>
      <c r="D43" s="5">
        <f t="shared" si="5"/>
        <v>1564</v>
      </c>
      <c r="E43" s="5">
        <f t="shared" si="5"/>
        <v>159</v>
      </c>
      <c r="F43" s="5">
        <f t="shared" si="5"/>
        <v>70</v>
      </c>
      <c r="G43" s="5">
        <f t="shared" si="5"/>
        <v>1</v>
      </c>
      <c r="H43" s="5">
        <f t="shared" si="5"/>
        <v>56</v>
      </c>
      <c r="I43" s="5">
        <f t="shared" si="5"/>
        <v>26</v>
      </c>
      <c r="J43" s="5">
        <f t="shared" si="5"/>
        <v>0</v>
      </c>
      <c r="K43" s="5">
        <f t="shared" si="5"/>
        <v>4960</v>
      </c>
    </row>
    <row r="44" spans="1:11" x14ac:dyDescent="0.25">
      <c r="A44" s="2" t="s">
        <v>53</v>
      </c>
      <c r="B44" s="4">
        <v>183</v>
      </c>
      <c r="C44" s="4">
        <v>192</v>
      </c>
      <c r="D44" s="4">
        <v>382</v>
      </c>
      <c r="E44" s="4">
        <v>25</v>
      </c>
      <c r="F44" s="4">
        <v>27</v>
      </c>
      <c r="G44" s="4">
        <v>0</v>
      </c>
      <c r="H44" s="4">
        <v>3</v>
      </c>
      <c r="I44" s="4">
        <v>2</v>
      </c>
      <c r="J44" s="4">
        <v>0</v>
      </c>
      <c r="K44" s="5">
        <f t="shared" ref="K44:K54" si="6">SUM(B44:J44)</f>
        <v>814</v>
      </c>
    </row>
    <row r="45" spans="1:11" x14ac:dyDescent="0.25">
      <c r="A45" s="2" t="s">
        <v>54</v>
      </c>
      <c r="B45" s="4">
        <v>4</v>
      </c>
      <c r="C45" s="4">
        <v>2</v>
      </c>
      <c r="D45" s="4">
        <v>33</v>
      </c>
      <c r="E45" s="4">
        <v>5</v>
      </c>
      <c r="F45" s="4">
        <v>16</v>
      </c>
      <c r="G45" s="4">
        <v>0</v>
      </c>
      <c r="H45" s="4">
        <v>2</v>
      </c>
      <c r="I45" s="4">
        <v>7</v>
      </c>
      <c r="J45" s="4">
        <v>0</v>
      </c>
      <c r="K45" s="5">
        <f t="shared" si="6"/>
        <v>69</v>
      </c>
    </row>
    <row r="46" spans="1:11" x14ac:dyDescent="0.25">
      <c r="A46" s="2" t="s">
        <v>55</v>
      </c>
      <c r="B46" s="4">
        <v>0</v>
      </c>
      <c r="C46" s="4">
        <v>0</v>
      </c>
      <c r="D46" s="4">
        <v>0</v>
      </c>
      <c r="E46" s="4">
        <v>1</v>
      </c>
      <c r="F46" s="4">
        <v>0</v>
      </c>
      <c r="G46" s="4">
        <v>0</v>
      </c>
      <c r="H46" s="4">
        <v>1</v>
      </c>
      <c r="I46" s="4">
        <v>0</v>
      </c>
      <c r="J46" s="4">
        <v>0</v>
      </c>
      <c r="K46" s="5">
        <f t="shared" si="6"/>
        <v>2</v>
      </c>
    </row>
    <row r="47" spans="1:11" x14ac:dyDescent="0.25">
      <c r="A47" s="2" t="s">
        <v>56</v>
      </c>
      <c r="B47" s="4">
        <v>365</v>
      </c>
      <c r="C47" s="4">
        <v>472</v>
      </c>
      <c r="D47" s="4">
        <v>341</v>
      </c>
      <c r="E47" s="4">
        <v>24</v>
      </c>
      <c r="F47" s="4">
        <v>6</v>
      </c>
      <c r="G47" s="4">
        <v>0</v>
      </c>
      <c r="H47" s="4">
        <v>2</v>
      </c>
      <c r="I47" s="4">
        <v>2</v>
      </c>
      <c r="J47" s="4">
        <v>0</v>
      </c>
      <c r="K47" s="5">
        <f t="shared" si="6"/>
        <v>1212</v>
      </c>
    </row>
    <row r="48" spans="1:11" x14ac:dyDescent="0.25">
      <c r="A48" s="2" t="s">
        <v>57</v>
      </c>
      <c r="B48" s="4">
        <v>51</v>
      </c>
      <c r="C48" s="4">
        <v>32</v>
      </c>
      <c r="D48" s="4">
        <v>89</v>
      </c>
      <c r="E48" s="4">
        <v>4</v>
      </c>
      <c r="F48" s="4">
        <v>4</v>
      </c>
      <c r="G48" s="4">
        <v>0</v>
      </c>
      <c r="H48" s="4">
        <v>0</v>
      </c>
      <c r="I48" s="4">
        <v>1</v>
      </c>
      <c r="J48" s="4">
        <v>0</v>
      </c>
      <c r="K48" s="5">
        <f t="shared" si="6"/>
        <v>181</v>
      </c>
    </row>
    <row r="49" spans="1:11" x14ac:dyDescent="0.25">
      <c r="A49" s="2" t="s">
        <v>58</v>
      </c>
      <c r="B49" s="4">
        <v>145</v>
      </c>
      <c r="C49" s="4">
        <v>226</v>
      </c>
      <c r="D49" s="4">
        <v>312</v>
      </c>
      <c r="E49" s="4">
        <v>34</v>
      </c>
      <c r="F49" s="4">
        <v>14</v>
      </c>
      <c r="G49" s="4">
        <v>0</v>
      </c>
      <c r="H49" s="4">
        <v>18</v>
      </c>
      <c r="I49" s="4">
        <v>7</v>
      </c>
      <c r="J49" s="4">
        <v>0</v>
      </c>
      <c r="K49" s="5">
        <f t="shared" si="6"/>
        <v>756</v>
      </c>
    </row>
    <row r="50" spans="1:11" x14ac:dyDescent="0.25">
      <c r="A50" s="2" t="s">
        <v>59</v>
      </c>
      <c r="B50" s="4">
        <v>113</v>
      </c>
      <c r="C50" s="4">
        <v>123</v>
      </c>
      <c r="D50" s="4">
        <v>141</v>
      </c>
      <c r="E50" s="4">
        <v>28</v>
      </c>
      <c r="F50" s="4">
        <v>12</v>
      </c>
      <c r="G50" s="4">
        <v>0</v>
      </c>
      <c r="H50" s="4">
        <v>11</v>
      </c>
      <c r="I50" s="4">
        <v>2</v>
      </c>
      <c r="J50" s="4">
        <v>0</v>
      </c>
      <c r="K50" s="5">
        <f t="shared" si="6"/>
        <v>430</v>
      </c>
    </row>
    <row r="51" spans="1:11" x14ac:dyDescent="0.25">
      <c r="A51" s="2" t="s">
        <v>60</v>
      </c>
      <c r="B51" s="4">
        <v>178</v>
      </c>
      <c r="C51" s="4">
        <v>203</v>
      </c>
      <c r="D51" s="4">
        <v>102</v>
      </c>
      <c r="E51" s="4">
        <v>15</v>
      </c>
      <c r="F51" s="4">
        <v>3</v>
      </c>
      <c r="G51" s="4">
        <v>0</v>
      </c>
      <c r="H51" s="4">
        <v>0</v>
      </c>
      <c r="I51" s="4">
        <v>1</v>
      </c>
      <c r="J51" s="4">
        <v>0</v>
      </c>
      <c r="K51" s="5">
        <f t="shared" si="6"/>
        <v>502</v>
      </c>
    </row>
    <row r="52" spans="1:11" x14ac:dyDescent="0.25">
      <c r="A52" s="2" t="s">
        <v>61</v>
      </c>
      <c r="B52" s="4">
        <v>87</v>
      </c>
      <c r="C52" s="4">
        <v>57</v>
      </c>
      <c r="D52" s="4">
        <v>53</v>
      </c>
      <c r="E52" s="4">
        <v>3</v>
      </c>
      <c r="F52" s="4">
        <v>3</v>
      </c>
      <c r="G52" s="4">
        <v>0</v>
      </c>
      <c r="H52" s="4">
        <v>6</v>
      </c>
      <c r="I52" s="4">
        <v>1</v>
      </c>
      <c r="J52" s="4">
        <v>0</v>
      </c>
      <c r="K52" s="5">
        <f t="shared" si="6"/>
        <v>210</v>
      </c>
    </row>
    <row r="53" spans="1:11" x14ac:dyDescent="0.25">
      <c r="A53" s="2" t="s">
        <v>8</v>
      </c>
      <c r="B53" s="4">
        <v>106</v>
      </c>
      <c r="C53" s="4">
        <v>124</v>
      </c>
      <c r="D53" s="4">
        <v>48</v>
      </c>
      <c r="E53" s="4">
        <v>16</v>
      </c>
      <c r="F53" s="4">
        <v>5</v>
      </c>
      <c r="G53" s="4">
        <v>0</v>
      </c>
      <c r="H53" s="4">
        <v>2</v>
      </c>
      <c r="I53" s="4">
        <v>5</v>
      </c>
      <c r="J53" s="4">
        <v>0</v>
      </c>
      <c r="K53" s="5">
        <f t="shared" si="6"/>
        <v>306</v>
      </c>
    </row>
    <row r="54" spans="1:11" x14ac:dyDescent="0.25">
      <c r="A54" s="8" t="s">
        <v>62</v>
      </c>
      <c r="B54" s="5">
        <f t="shared" ref="B54:J54" si="7">SUM(B44:B53)</f>
        <v>1232</v>
      </c>
      <c r="C54" s="5">
        <f t="shared" si="7"/>
        <v>1431</v>
      </c>
      <c r="D54" s="5">
        <f t="shared" si="7"/>
        <v>1501</v>
      </c>
      <c r="E54" s="5">
        <f t="shared" si="7"/>
        <v>155</v>
      </c>
      <c r="F54" s="5">
        <f t="shared" si="7"/>
        <v>90</v>
      </c>
      <c r="G54" s="5">
        <f t="shared" si="7"/>
        <v>0</v>
      </c>
      <c r="H54" s="5">
        <f t="shared" si="7"/>
        <v>45</v>
      </c>
      <c r="I54" s="5">
        <f t="shared" si="7"/>
        <v>28</v>
      </c>
      <c r="J54" s="5">
        <f t="shared" si="7"/>
        <v>0</v>
      </c>
      <c r="K54" s="5">
        <f t="shared" si="6"/>
        <v>4482</v>
      </c>
    </row>
    <row r="55" spans="1:11" x14ac:dyDescent="0.25">
      <c r="A55" s="7" t="s">
        <v>63</v>
      </c>
      <c r="B55" s="1">
        <f t="shared" ref="B55:K55" si="8">B54+B43+B33+B24+B13</f>
        <v>5903</v>
      </c>
      <c r="C55" s="1">
        <f t="shared" si="8"/>
        <v>7774</v>
      </c>
      <c r="D55" s="1">
        <f t="shared" si="8"/>
        <v>10232</v>
      </c>
      <c r="E55" s="1">
        <f t="shared" si="8"/>
        <v>1058</v>
      </c>
      <c r="F55" s="1">
        <f t="shared" si="8"/>
        <v>569</v>
      </c>
      <c r="G55" s="1">
        <f t="shared" si="8"/>
        <v>30</v>
      </c>
      <c r="H55" s="1">
        <f t="shared" si="8"/>
        <v>465</v>
      </c>
      <c r="I55" s="1">
        <f t="shared" si="8"/>
        <v>186</v>
      </c>
      <c r="J55" s="1">
        <f t="shared" si="8"/>
        <v>13</v>
      </c>
      <c r="K55" s="1">
        <f t="shared" si="8"/>
        <v>26230</v>
      </c>
    </row>
  </sheetData>
  <printOptions horizontalCentered="1"/>
  <pageMargins left="0.2" right="0.2" top="0.75" bottom="0.75" header="0.3" footer="0.3"/>
  <pageSetup paperSize="9" scale="11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DT Count </vt:lpstr>
      <vt:lpstr>'DT Count 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 Khan</cp:lastModifiedBy>
  <cp:lastPrinted>2026-05-23T07:20:55Z</cp:lastPrinted>
  <dcterms:created xsi:type="dcterms:W3CDTF">2026-03-17T08:52:25Z</dcterms:created>
  <dcterms:modified xsi:type="dcterms:W3CDTF">2026-08-03T12:03:19Z</dcterms:modified>
</cp:coreProperties>
</file>