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makh\OneDrive\Desktop\"/>
    </mc:Choice>
  </mc:AlternateContent>
  <xr:revisionPtr revIDLastSave="0" documentId="13_ncr:1_{C23314B6-78D1-4ACB-B72B-F416771552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T and Line Maintenance" sheetId="3" r:id="rId1"/>
    <sheet name="DT and Line Survey" sheetId="7" r:id="rId2"/>
  </sheets>
  <definedNames>
    <definedName name="_xlnm._FilterDatabase" localSheetId="0" hidden="1">'DT and Line Maintenance'!$A$3:$S$54</definedName>
    <definedName name="_xlnm._FilterDatabase" localSheetId="1" hidden="1">'DT and Line Survey'!$A$3:$Q$54</definedName>
    <definedName name="_xlnm.Print_Area" localSheetId="0">'DT and Line Maintenance'!$A$1:$S$54</definedName>
    <definedName name="_xlnm.Print_Area" localSheetId="1">'DT and Line Survey'!$A$1:$Q$54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3" i="7" l="1"/>
  <c r="I43" i="7"/>
  <c r="I33" i="7"/>
  <c r="I23" i="7"/>
  <c r="J23" i="7"/>
  <c r="I13" i="7"/>
  <c r="Q53" i="7"/>
  <c r="P53" i="7"/>
  <c r="O53" i="7"/>
  <c r="N53" i="7"/>
  <c r="L53" i="7"/>
  <c r="K53" i="7"/>
  <c r="J53" i="7"/>
  <c r="G53" i="7"/>
  <c r="F53" i="7"/>
  <c r="E53" i="7"/>
  <c r="D53" i="7"/>
  <c r="C53" i="7"/>
  <c r="M47" i="7"/>
  <c r="M44" i="7"/>
  <c r="M53" i="7" s="1"/>
  <c r="H44" i="7"/>
  <c r="H53" i="7" s="1"/>
  <c r="Q43" i="7"/>
  <c r="P43" i="7"/>
  <c r="O43" i="7"/>
  <c r="N43" i="7"/>
  <c r="L43" i="7"/>
  <c r="K43" i="7"/>
  <c r="J43" i="7"/>
  <c r="G43" i="7"/>
  <c r="F43" i="7"/>
  <c r="E43" i="7"/>
  <c r="C43" i="7"/>
  <c r="H38" i="7"/>
  <c r="D38" i="7"/>
  <c r="D43" i="7" s="1"/>
  <c r="H37" i="7"/>
  <c r="M35" i="7"/>
  <c r="M43" i="7" s="1"/>
  <c r="H35" i="7"/>
  <c r="Q33" i="7"/>
  <c r="P33" i="7"/>
  <c r="O33" i="7"/>
  <c r="M33" i="7"/>
  <c r="L33" i="7"/>
  <c r="K33" i="7"/>
  <c r="J33" i="7"/>
  <c r="H33" i="7"/>
  <c r="G33" i="7"/>
  <c r="F33" i="7"/>
  <c r="E33" i="7"/>
  <c r="D33" i="7"/>
  <c r="C33" i="7"/>
  <c r="N33" i="7"/>
  <c r="Q23" i="7"/>
  <c r="P23" i="7"/>
  <c r="O23" i="7"/>
  <c r="M23" i="7"/>
  <c r="L23" i="7"/>
  <c r="K23" i="7"/>
  <c r="G23" i="7"/>
  <c r="F23" i="7"/>
  <c r="E23" i="7"/>
  <c r="D23" i="7"/>
  <c r="C23" i="7"/>
  <c r="H15" i="7"/>
  <c r="N23" i="7"/>
  <c r="H14" i="7"/>
  <c r="Q13" i="7"/>
  <c r="P13" i="7"/>
  <c r="O13" i="7"/>
  <c r="N13" i="7"/>
  <c r="L13" i="7"/>
  <c r="K13" i="7"/>
  <c r="J13" i="7"/>
  <c r="G13" i="7"/>
  <c r="F13" i="7"/>
  <c r="E13" i="7"/>
  <c r="D13" i="7"/>
  <c r="C13" i="7"/>
  <c r="H13" i="7"/>
  <c r="M5" i="7"/>
  <c r="M13" i="7" s="1"/>
  <c r="S53" i="3"/>
  <c r="R53" i="3"/>
  <c r="Q53" i="3"/>
  <c r="P53" i="3"/>
  <c r="O53" i="3"/>
  <c r="M53" i="3"/>
  <c r="L53" i="3"/>
  <c r="K53" i="3"/>
  <c r="J53" i="3"/>
  <c r="H53" i="3"/>
  <c r="G53" i="3"/>
  <c r="F53" i="3"/>
  <c r="E53" i="3"/>
  <c r="D53" i="3"/>
  <c r="C53" i="3"/>
  <c r="S43" i="3"/>
  <c r="R43" i="3"/>
  <c r="Q43" i="3"/>
  <c r="P43" i="3"/>
  <c r="O43" i="3"/>
  <c r="M43" i="3"/>
  <c r="L43" i="3"/>
  <c r="K43" i="3"/>
  <c r="J43" i="3"/>
  <c r="H43" i="3"/>
  <c r="G43" i="3"/>
  <c r="F43" i="3"/>
  <c r="E43" i="3"/>
  <c r="C43" i="3"/>
  <c r="S33" i="3"/>
  <c r="R33" i="3"/>
  <c r="Q33" i="3"/>
  <c r="P33" i="3"/>
  <c r="N33" i="3"/>
  <c r="M33" i="3"/>
  <c r="L33" i="3"/>
  <c r="K33" i="3"/>
  <c r="J33" i="3"/>
  <c r="I33" i="3"/>
  <c r="H33" i="3"/>
  <c r="G33" i="3"/>
  <c r="F33" i="3"/>
  <c r="E33" i="3"/>
  <c r="D33" i="3"/>
  <c r="C33" i="3"/>
  <c r="S23" i="3"/>
  <c r="R23" i="3"/>
  <c r="Q23" i="3"/>
  <c r="P23" i="3"/>
  <c r="N23" i="3"/>
  <c r="M23" i="3"/>
  <c r="L23" i="3"/>
  <c r="K23" i="3"/>
  <c r="J23" i="3"/>
  <c r="H23" i="3"/>
  <c r="G23" i="3"/>
  <c r="F23" i="3"/>
  <c r="E23" i="3"/>
  <c r="D23" i="3"/>
  <c r="C23" i="3"/>
  <c r="G13" i="3"/>
  <c r="H13" i="3"/>
  <c r="J13" i="3"/>
  <c r="K13" i="3"/>
  <c r="L13" i="3"/>
  <c r="M13" i="3"/>
  <c r="O13" i="3"/>
  <c r="P13" i="3"/>
  <c r="Q13" i="3"/>
  <c r="R13" i="3"/>
  <c r="S13" i="3"/>
  <c r="C13" i="3"/>
  <c r="D13" i="3"/>
  <c r="E13" i="3"/>
  <c r="F13" i="3"/>
  <c r="N47" i="3"/>
  <c r="N44" i="3"/>
  <c r="N53" i="3" s="1"/>
  <c r="I44" i="3"/>
  <c r="I53" i="3" s="1"/>
  <c r="N35" i="3"/>
  <c r="N43" i="3" s="1"/>
  <c r="I38" i="3"/>
  <c r="I37" i="3"/>
  <c r="I35" i="3"/>
  <c r="I43" i="3" s="1"/>
  <c r="O31" i="3"/>
  <c r="O26" i="3"/>
  <c r="O33" i="3" s="1"/>
  <c r="O18" i="3"/>
  <c r="O17" i="3"/>
  <c r="O16" i="3"/>
  <c r="O15" i="3"/>
  <c r="O14" i="3"/>
  <c r="O23" i="3" s="1"/>
  <c r="I15" i="3"/>
  <c r="I14" i="3"/>
  <c r="N5" i="3"/>
  <c r="N13" i="3" s="1"/>
  <c r="I8" i="3"/>
  <c r="I7" i="3"/>
  <c r="I13" i="3" s="1"/>
  <c r="D38" i="3"/>
  <c r="D43" i="3" s="1"/>
  <c r="I23" i="3" l="1"/>
  <c r="H43" i="7"/>
  <c r="I54" i="7"/>
  <c r="R54" i="3"/>
  <c r="P54" i="3"/>
  <c r="M54" i="3"/>
  <c r="L54" i="3"/>
  <c r="J54" i="3"/>
  <c r="H54" i="3"/>
  <c r="E54" i="3"/>
  <c r="C54" i="3"/>
  <c r="S54" i="3"/>
  <c r="Q54" i="3"/>
  <c r="O54" i="3"/>
  <c r="N54" i="3"/>
  <c r="K54" i="3"/>
  <c r="I54" i="3"/>
  <c r="G54" i="3"/>
  <c r="F54" i="3"/>
  <c r="D54" i="3"/>
  <c r="H23" i="7"/>
  <c r="O54" i="7"/>
  <c r="L54" i="7"/>
  <c r="J54" i="7"/>
  <c r="G54" i="7"/>
  <c r="E54" i="7"/>
  <c r="Q54" i="7"/>
  <c r="P54" i="7"/>
  <c r="K54" i="7"/>
  <c r="F54" i="7"/>
  <c r="C54" i="7"/>
  <c r="N54" i="7"/>
  <c r="D54" i="7"/>
  <c r="M54" i="7"/>
  <c r="H54" i="7" l="1"/>
</calcChain>
</file>

<file path=xl/sharedStrings.xml><?xml version="1.0" encoding="utf-8"?>
<sst xmlns="http://schemas.openxmlformats.org/spreadsheetml/2006/main" count="64" uniqueCount="47">
  <si>
    <t>Total</t>
  </si>
  <si>
    <t>Month</t>
  </si>
  <si>
    <t>33KV Tree Trimming (KM)</t>
  </si>
  <si>
    <t>11KV Tree Trimming (KM)</t>
  </si>
  <si>
    <t>DT Maintenance (Nos.)</t>
  </si>
  <si>
    <t>Lug Changed (Nos.)</t>
  </si>
  <si>
    <t>Bushing Changed (Nos.)</t>
  </si>
  <si>
    <t>Stay Set Repaired/Replaced (Nos.)</t>
  </si>
  <si>
    <t>Jumper Repaired (Nos.)</t>
  </si>
  <si>
    <t>Earthing (Body/Nuetral)</t>
  </si>
  <si>
    <t>Division</t>
  </si>
  <si>
    <t>Damage DT Replacement</t>
  </si>
  <si>
    <t>Weasel Conductor Replaced/ Tightened (Mtr.)</t>
  </si>
  <si>
    <t>DT Lead Replacement (Mtr)</t>
  </si>
  <si>
    <t>Damage/Mid Span/Tilted Pole Replacement</t>
  </si>
  <si>
    <t>Oil Top-up (Ltr)</t>
  </si>
  <si>
    <t>Grand Total</t>
  </si>
  <si>
    <t>Silica Gel Replaced (Kg)</t>
  </si>
  <si>
    <t>33KV Insulator Changed (Disc+Pin) (Nos.)</t>
  </si>
  <si>
    <t>11KV Insulator Changed (Disc+Pin) (Nos.)</t>
  </si>
  <si>
    <t>LT ABC Cable Replaced (Mtr.)</t>
  </si>
  <si>
    <t>EDD-Barabanki</t>
  </si>
  <si>
    <t>EDD-Ramnagar</t>
  </si>
  <si>
    <t>EDD-Fatehpur</t>
  </si>
  <si>
    <t>EDD-Haidergarh</t>
  </si>
  <si>
    <t xml:space="preserve">EDD-Ramsanehighat </t>
  </si>
  <si>
    <t>DT Survey (Nos.)</t>
  </si>
  <si>
    <t>Lug Required (Nos.)</t>
  </si>
  <si>
    <t>Bushing Required (Nos.)</t>
  </si>
  <si>
    <t>Silica Gel Required (Kg)</t>
  </si>
  <si>
    <t>Earthing Required</t>
  </si>
  <si>
    <t>DT Lead Required     (Mtr)</t>
  </si>
  <si>
    <t xml:space="preserve">EDC-Barabanki : DT and Line Inspection Report </t>
  </si>
  <si>
    <t xml:space="preserve">Line Inspection Report </t>
  </si>
  <si>
    <t>DT  Inspection  Report</t>
  </si>
  <si>
    <t>DT  Maintenance Report</t>
  </si>
  <si>
    <t xml:space="preserve">Line  Maintenanceand Report </t>
  </si>
  <si>
    <t xml:space="preserve">EDC-Barabanki : DT and LineMaintenance Report </t>
  </si>
  <si>
    <t>Req. 11KV Tree Trimming (KM)</t>
  </si>
  <si>
    <t>Replace Req. 33KV Insulator (Disc+Pin) (Nos.)</t>
  </si>
  <si>
    <t>Replace Req. 11KV Insulator Changed (Disc+Pin) (Nos.)</t>
  </si>
  <si>
    <t>Req. LT ABC Cable  (Mtr.)</t>
  </si>
  <si>
    <t>Req. Weasel Conductor (Mtr.)</t>
  </si>
  <si>
    <t>Req. Stay Set (Nos.)</t>
  </si>
  <si>
    <t>Req. Damage/Mid Span/Tilted Pole Replacement</t>
  </si>
  <si>
    <t>Line Survey Done 33kv and 11 kv</t>
  </si>
  <si>
    <t>Req. Tree Trimming (KM) 33kv 11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</si>
</sst>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3499862666707357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17" fontId="1" fillId="0" borderId="45" xfId="0" applyNumberFormat="1" applyFont="1" applyBorder="1" applyAlignment="1">
      <alignment horizontal="center" vertical="center" wrapText="1"/>
    </xf>
    <xf numFmtId="17" fontId="1" fillId="0" borderId="43" xfId="0" applyNumberFormat="1" applyFont="1" applyBorder="1" applyAlignment="1">
      <alignment horizontal="center" vertical="center" wrapText="1"/>
    </xf>
    <xf numFmtId="17" fontId="1" fillId="0" borderId="29" xfId="0" applyNumberFormat="1" applyFont="1" applyBorder="1" applyAlignment="1">
      <alignment horizontal="center" vertical="center" wrapText="1"/>
    </xf>
    <xf numFmtId="17" fontId="1" fillId="0" borderId="44" xfId="0" applyNumberFormat="1" applyFont="1" applyBorder="1" applyAlignment="1">
      <alignment horizontal="center" vertical="center" wrapText="1"/>
    </xf>
    <xf numFmtId="17" fontId="1" fillId="0" borderId="33" xfId="0" applyNumberFormat="1" applyFont="1" applyBorder="1" applyAlignment="1">
      <alignment horizontal="center" vertical="center" wrapText="1"/>
    </xf>
    <xf numFmtId="17" fontId="1" fillId="5" borderId="38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" fontId="1" fillId="5" borderId="3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7" fontId="1" fillId="5" borderId="42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" fillId="2" borderId="41" xfId="0" applyFont="1" applyFill="1" applyBorder="1"/>
    <xf numFmtId="0" fontId="4" fillId="6" borderId="31" xfId="0" applyFont="1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0" borderId="0" xfId="0" applyFont="1"/>
    <xf numFmtId="0" fontId="1" fillId="5" borderId="19" xfId="0" applyFont="1" applyFill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7" fontId="1" fillId="2" borderId="13" xfId="0" applyNumberFormat="1" applyFont="1" applyFill="1" applyBorder="1" applyAlignment="1">
      <alignment horizontal="center" vertical="center" wrapText="1"/>
    </xf>
    <xf numFmtId="17" fontId="1" fillId="2" borderId="39" xfId="0" applyNumberFormat="1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7" fontId="4" fillId="6" borderId="5" xfId="0" applyNumberFormat="1" applyFont="1" applyFill="1" applyBorder="1" applyAlignment="1">
      <alignment horizontal="center" vertical="center" wrapText="1"/>
    </xf>
    <xf numFmtId="17" fontId="4" fillId="6" borderId="51" xfId="0" applyNumberFormat="1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/>
    </xf>
    <xf numFmtId="0" fontId="2" fillId="4" borderId="47" xfId="0" applyFont="1" applyFill="1" applyBorder="1" applyAlignment="1">
      <alignment horizontal="center"/>
    </xf>
    <xf numFmtId="0" fontId="2" fillId="4" borderId="46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BC35-A34B-47F3-A96A-272E32A32E1D}">
  <dimension ref="A1:S54"/>
  <sheetViews>
    <sheetView tabSelected="1" zoomScaleNormal="100" zoomScaleSheetLayoutView="85" workbookViewId="0">
      <selection activeCell="A2" sqref="A2:A3"/>
    </sheetView>
  </sheetViews>
  <sheetFormatPr defaultRowHeight="14.4" x14ac:dyDescent="0.3"/>
  <cols>
    <col min="1" max="1" width="23.44140625" customWidth="1"/>
    <col min="2" max="2" width="10.21875" customWidth="1"/>
    <col min="3" max="3" width="11.109375" customWidth="1"/>
    <col min="8" max="8" width="9" customWidth="1"/>
    <col min="9" max="9" width="12.77734375" customWidth="1"/>
    <col min="10" max="10" width="12.44140625" customWidth="1"/>
    <col min="11" max="11" width="13.5546875" customWidth="1"/>
    <col min="12" max="12" width="11.33203125" customWidth="1"/>
    <col min="13" max="13" width="11" customWidth="1"/>
    <col min="14" max="14" width="11.77734375" customWidth="1"/>
    <col min="15" max="15" width="11.44140625" customWidth="1"/>
    <col min="16" max="16" width="14.6640625" customWidth="1"/>
    <col min="17" max="17" width="12.44140625" customWidth="1"/>
    <col min="18" max="18" width="10.6640625" customWidth="1"/>
    <col min="19" max="19" width="12.6640625" customWidth="1"/>
  </cols>
  <sheetData>
    <row r="1" spans="1:19" ht="21.6" thickBot="1" x14ac:dyDescent="0.45">
      <c r="A1" s="76" t="s">
        <v>37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1.6" thickBot="1" x14ac:dyDescent="0.45">
      <c r="A2" s="78" t="s">
        <v>10</v>
      </c>
      <c r="B2" s="80" t="s">
        <v>1</v>
      </c>
      <c r="C2" s="75" t="s">
        <v>35</v>
      </c>
      <c r="D2" s="75"/>
      <c r="E2" s="75"/>
      <c r="F2" s="75"/>
      <c r="G2" s="75"/>
      <c r="H2" s="75"/>
      <c r="I2" s="75"/>
      <c r="J2" s="82"/>
      <c r="K2" s="74" t="s">
        <v>36</v>
      </c>
      <c r="L2" s="75"/>
      <c r="M2" s="75"/>
      <c r="N2" s="75"/>
      <c r="O2" s="75"/>
      <c r="P2" s="75"/>
      <c r="Q2" s="75"/>
      <c r="R2" s="75"/>
      <c r="S2" s="75"/>
    </row>
    <row r="3" spans="1:19" ht="72.599999999999994" thickBot="1" x14ac:dyDescent="0.35">
      <c r="A3" s="79"/>
      <c r="B3" s="81"/>
      <c r="C3" s="9" t="s">
        <v>4</v>
      </c>
      <c r="D3" s="5" t="s">
        <v>5</v>
      </c>
      <c r="E3" s="5" t="s">
        <v>6</v>
      </c>
      <c r="F3" s="5" t="s">
        <v>17</v>
      </c>
      <c r="G3" s="5" t="s">
        <v>15</v>
      </c>
      <c r="H3" s="5" t="s">
        <v>9</v>
      </c>
      <c r="I3" s="6" t="s">
        <v>13</v>
      </c>
      <c r="J3" s="6" t="s">
        <v>11</v>
      </c>
      <c r="K3" s="9" t="s">
        <v>2</v>
      </c>
      <c r="L3" s="5" t="s">
        <v>3</v>
      </c>
      <c r="M3" s="5" t="s">
        <v>18</v>
      </c>
      <c r="N3" s="5" t="s">
        <v>19</v>
      </c>
      <c r="O3" s="5" t="s">
        <v>20</v>
      </c>
      <c r="P3" s="5" t="s">
        <v>12</v>
      </c>
      <c r="Q3" s="5" t="s">
        <v>7</v>
      </c>
      <c r="R3" s="5" t="s">
        <v>8</v>
      </c>
      <c r="S3" s="5" t="s">
        <v>14</v>
      </c>
    </row>
    <row r="4" spans="1:19" x14ac:dyDescent="0.3">
      <c r="A4" s="70" t="s">
        <v>21</v>
      </c>
      <c r="B4" s="29">
        <v>45962</v>
      </c>
      <c r="C4" s="11">
        <v>120</v>
      </c>
      <c r="D4" s="23">
        <v>65</v>
      </c>
      <c r="E4" s="2">
        <v>0</v>
      </c>
      <c r="F4" s="2">
        <v>0</v>
      </c>
      <c r="G4" s="2">
        <v>0</v>
      </c>
      <c r="H4" s="2">
        <v>0</v>
      </c>
      <c r="I4" s="19">
        <v>229</v>
      </c>
      <c r="J4" s="8">
        <v>0</v>
      </c>
      <c r="K4" s="11">
        <v>10</v>
      </c>
      <c r="L4" s="2">
        <v>10</v>
      </c>
      <c r="M4" s="2">
        <v>0</v>
      </c>
      <c r="N4" s="2">
        <v>0</v>
      </c>
      <c r="O4" s="2">
        <v>0</v>
      </c>
      <c r="P4" s="2">
        <v>0</v>
      </c>
      <c r="Q4" s="2">
        <v>5</v>
      </c>
      <c r="R4" s="2">
        <v>78</v>
      </c>
      <c r="S4" s="2">
        <v>20</v>
      </c>
    </row>
    <row r="5" spans="1:19" x14ac:dyDescent="0.3">
      <c r="A5" s="70"/>
      <c r="B5" s="29">
        <v>45992</v>
      </c>
      <c r="C5" s="11">
        <v>135</v>
      </c>
      <c r="D5" s="23">
        <v>180</v>
      </c>
      <c r="E5" s="2">
        <v>0</v>
      </c>
      <c r="F5" s="2">
        <v>0</v>
      </c>
      <c r="G5" s="2">
        <v>0</v>
      </c>
      <c r="H5" s="2">
        <v>21</v>
      </c>
      <c r="I5" s="19">
        <v>0</v>
      </c>
      <c r="J5" s="8">
        <v>9</v>
      </c>
      <c r="K5" s="11">
        <v>5</v>
      </c>
      <c r="L5" s="2">
        <v>11</v>
      </c>
      <c r="M5" s="2">
        <v>0</v>
      </c>
      <c r="N5" s="2">
        <f>18+27</f>
        <v>45</v>
      </c>
      <c r="O5" s="2">
        <v>100</v>
      </c>
      <c r="P5" s="2">
        <v>200</v>
      </c>
      <c r="Q5" s="2">
        <v>15</v>
      </c>
      <c r="R5" s="2">
        <v>43</v>
      </c>
      <c r="S5" s="2">
        <v>13</v>
      </c>
    </row>
    <row r="6" spans="1:19" x14ac:dyDescent="0.3">
      <c r="A6" s="70"/>
      <c r="B6" s="29">
        <v>46023</v>
      </c>
      <c r="C6" s="11">
        <v>35</v>
      </c>
      <c r="D6" s="23">
        <v>419</v>
      </c>
      <c r="E6" s="2">
        <v>1</v>
      </c>
      <c r="F6" s="2">
        <v>0</v>
      </c>
      <c r="G6" s="2">
        <v>150</v>
      </c>
      <c r="H6" s="2">
        <v>3</v>
      </c>
      <c r="I6" s="19">
        <v>0</v>
      </c>
      <c r="J6" s="8">
        <v>12</v>
      </c>
      <c r="K6" s="11">
        <v>10</v>
      </c>
      <c r="L6" s="2">
        <v>13</v>
      </c>
      <c r="M6" s="2">
        <v>0</v>
      </c>
      <c r="N6" s="2">
        <v>0</v>
      </c>
      <c r="O6" s="2">
        <v>0</v>
      </c>
      <c r="P6" s="2">
        <v>0</v>
      </c>
      <c r="Q6" s="2">
        <v>18</v>
      </c>
      <c r="R6" s="2">
        <v>80</v>
      </c>
      <c r="S6" s="2">
        <v>14</v>
      </c>
    </row>
    <row r="7" spans="1:19" x14ac:dyDescent="0.3">
      <c r="A7" s="70"/>
      <c r="B7" s="29">
        <v>46054</v>
      </c>
      <c r="C7" s="11">
        <v>40</v>
      </c>
      <c r="D7" s="23">
        <v>312</v>
      </c>
      <c r="E7" s="2">
        <v>1</v>
      </c>
      <c r="F7" s="2">
        <v>0</v>
      </c>
      <c r="G7" s="2">
        <v>195</v>
      </c>
      <c r="H7" s="2">
        <v>0</v>
      </c>
      <c r="I7" s="19">
        <f>1190+230</f>
        <v>1420</v>
      </c>
      <c r="J7" s="8">
        <v>8</v>
      </c>
      <c r="K7" s="11">
        <v>8</v>
      </c>
      <c r="L7" s="2">
        <v>9</v>
      </c>
      <c r="M7" s="2">
        <v>0</v>
      </c>
      <c r="N7" s="2">
        <v>53</v>
      </c>
      <c r="O7" s="2">
        <v>0</v>
      </c>
      <c r="P7" s="2">
        <v>0</v>
      </c>
      <c r="Q7" s="2">
        <v>22</v>
      </c>
      <c r="R7" s="2">
        <v>66</v>
      </c>
      <c r="S7" s="2">
        <v>12</v>
      </c>
    </row>
    <row r="8" spans="1:19" x14ac:dyDescent="0.3">
      <c r="A8" s="70"/>
      <c r="B8" s="29">
        <v>46082</v>
      </c>
      <c r="C8" s="11">
        <v>110</v>
      </c>
      <c r="D8" s="23">
        <v>318</v>
      </c>
      <c r="E8" s="2">
        <v>3</v>
      </c>
      <c r="F8" s="2">
        <v>0</v>
      </c>
      <c r="G8" s="2">
        <v>200</v>
      </c>
      <c r="H8" s="2">
        <v>0</v>
      </c>
      <c r="I8" s="19">
        <f>401+508</f>
        <v>909</v>
      </c>
      <c r="J8" s="8">
        <v>6</v>
      </c>
      <c r="K8" s="11">
        <v>21</v>
      </c>
      <c r="L8" s="2">
        <v>12</v>
      </c>
      <c r="M8" s="2">
        <v>3</v>
      </c>
      <c r="N8" s="2">
        <v>70</v>
      </c>
      <c r="O8" s="2">
        <v>0</v>
      </c>
      <c r="P8" s="2">
        <v>200</v>
      </c>
      <c r="Q8" s="2">
        <v>8</v>
      </c>
      <c r="R8" s="2">
        <v>40</v>
      </c>
      <c r="S8" s="2">
        <v>15</v>
      </c>
    </row>
    <row r="9" spans="1:19" x14ac:dyDescent="0.3">
      <c r="A9" s="70"/>
      <c r="B9" s="29">
        <v>46113</v>
      </c>
      <c r="C9" s="11">
        <v>142</v>
      </c>
      <c r="D9" s="23">
        <v>161</v>
      </c>
      <c r="E9" s="2">
        <v>2</v>
      </c>
      <c r="F9" s="2">
        <v>10</v>
      </c>
      <c r="G9" s="2">
        <v>350</v>
      </c>
      <c r="H9" s="2">
        <v>5</v>
      </c>
      <c r="I9" s="19">
        <v>415</v>
      </c>
      <c r="J9" s="8">
        <v>8</v>
      </c>
      <c r="K9" s="11">
        <v>13</v>
      </c>
      <c r="L9" s="2">
        <v>17</v>
      </c>
      <c r="M9" s="2">
        <v>0</v>
      </c>
      <c r="N9" s="2">
        <v>33</v>
      </c>
      <c r="O9" s="2">
        <v>350</v>
      </c>
      <c r="P9" s="2">
        <v>270</v>
      </c>
      <c r="Q9" s="2">
        <v>13</v>
      </c>
      <c r="R9" s="2">
        <v>118</v>
      </c>
      <c r="S9" s="2">
        <v>8</v>
      </c>
    </row>
    <row r="10" spans="1:19" x14ac:dyDescent="0.3">
      <c r="A10" s="70"/>
      <c r="B10" s="29">
        <v>46143</v>
      </c>
      <c r="C10" s="11">
        <v>60</v>
      </c>
      <c r="D10" s="23">
        <v>210</v>
      </c>
      <c r="E10" s="2">
        <v>1</v>
      </c>
      <c r="F10" s="2">
        <v>0</v>
      </c>
      <c r="G10" s="2">
        <v>400</v>
      </c>
      <c r="H10" s="2">
        <v>0</v>
      </c>
      <c r="I10" s="19">
        <v>0</v>
      </c>
      <c r="J10" s="8">
        <v>33</v>
      </c>
      <c r="K10" s="11">
        <v>9</v>
      </c>
      <c r="L10" s="2">
        <v>21</v>
      </c>
      <c r="M10" s="2">
        <v>0</v>
      </c>
      <c r="N10" s="2">
        <v>40</v>
      </c>
      <c r="O10" s="2">
        <v>720</v>
      </c>
      <c r="P10" s="2">
        <v>26</v>
      </c>
      <c r="Q10" s="2">
        <v>0</v>
      </c>
      <c r="R10" s="2">
        <v>187</v>
      </c>
      <c r="S10" s="2">
        <v>43</v>
      </c>
    </row>
    <row r="11" spans="1:19" x14ac:dyDescent="0.3">
      <c r="A11" s="70"/>
      <c r="B11" s="29">
        <v>46174</v>
      </c>
      <c r="C11" s="11">
        <v>86</v>
      </c>
      <c r="D11" s="23">
        <v>92</v>
      </c>
      <c r="E11" s="2">
        <v>1</v>
      </c>
      <c r="F11" s="2">
        <v>0</v>
      </c>
      <c r="G11" s="2">
        <v>200</v>
      </c>
      <c r="H11" s="2">
        <v>0</v>
      </c>
      <c r="I11" s="19">
        <v>0</v>
      </c>
      <c r="J11" s="8">
        <v>38</v>
      </c>
      <c r="K11" s="11">
        <v>8</v>
      </c>
      <c r="L11" s="2">
        <v>12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134</v>
      </c>
      <c r="S11" s="2">
        <v>26</v>
      </c>
    </row>
    <row r="12" spans="1:19" ht="15" thickBot="1" x14ac:dyDescent="0.35">
      <c r="A12" s="70"/>
      <c r="B12" s="31">
        <v>46204</v>
      </c>
      <c r="C12" s="14">
        <v>39</v>
      </c>
      <c r="D12" s="24">
        <v>104</v>
      </c>
      <c r="E12" s="12">
        <v>2</v>
      </c>
      <c r="F12" s="12">
        <v>0</v>
      </c>
      <c r="G12" s="12">
        <v>0</v>
      </c>
      <c r="H12" s="12">
        <v>0</v>
      </c>
      <c r="I12" s="20">
        <v>0</v>
      </c>
      <c r="J12" s="13">
        <v>58</v>
      </c>
      <c r="K12" s="14">
        <v>10</v>
      </c>
      <c r="L12" s="12">
        <v>6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100</v>
      </c>
      <c r="S12" s="12">
        <v>12</v>
      </c>
    </row>
    <row r="13" spans="1:19" s="1" customFormat="1" ht="15" thickBot="1" x14ac:dyDescent="0.35">
      <c r="A13" s="71"/>
      <c r="B13" s="34" t="s">
        <v>0</v>
      </c>
      <c r="C13" s="57">
        <f t="shared" ref="C13:S13" si="0">+C4+C5+C6+C7+C8+C9+C10+C11+C12</f>
        <v>767</v>
      </c>
      <c r="D13" s="51">
        <f t="shared" si="0"/>
        <v>1861</v>
      </c>
      <c r="E13" s="51">
        <f t="shared" si="0"/>
        <v>11</v>
      </c>
      <c r="F13" s="51">
        <f t="shared" si="0"/>
        <v>10</v>
      </c>
      <c r="G13" s="51">
        <f t="shared" si="0"/>
        <v>1495</v>
      </c>
      <c r="H13" s="51">
        <f t="shared" si="0"/>
        <v>29</v>
      </c>
      <c r="I13" s="51">
        <f t="shared" si="0"/>
        <v>2973</v>
      </c>
      <c r="J13" s="51">
        <f t="shared" si="0"/>
        <v>172</v>
      </c>
      <c r="K13" s="51">
        <f t="shared" si="0"/>
        <v>94</v>
      </c>
      <c r="L13" s="51">
        <f t="shared" si="0"/>
        <v>111</v>
      </c>
      <c r="M13" s="51">
        <f t="shared" si="0"/>
        <v>3</v>
      </c>
      <c r="N13" s="51">
        <f t="shared" si="0"/>
        <v>241</v>
      </c>
      <c r="O13" s="51">
        <f t="shared" si="0"/>
        <v>1170</v>
      </c>
      <c r="P13" s="51">
        <f t="shared" si="0"/>
        <v>696</v>
      </c>
      <c r="Q13" s="51">
        <f t="shared" si="0"/>
        <v>81</v>
      </c>
      <c r="R13" s="51">
        <f t="shared" si="0"/>
        <v>846</v>
      </c>
      <c r="S13" s="51">
        <f t="shared" si="0"/>
        <v>163</v>
      </c>
    </row>
    <row r="14" spans="1:19" x14ac:dyDescent="0.3">
      <c r="A14" s="68" t="s">
        <v>22</v>
      </c>
      <c r="B14" s="29">
        <v>45962</v>
      </c>
      <c r="C14" s="10">
        <v>40</v>
      </c>
      <c r="D14" s="22">
        <v>14</v>
      </c>
      <c r="E14" s="3">
        <v>0</v>
      </c>
      <c r="F14" s="3">
        <v>0</v>
      </c>
      <c r="G14" s="3">
        <v>0</v>
      </c>
      <c r="H14" s="3">
        <v>25</v>
      </c>
      <c r="I14" s="18">
        <f>529+630</f>
        <v>1159</v>
      </c>
      <c r="J14" s="7">
        <v>0</v>
      </c>
      <c r="K14" s="10">
        <v>10</v>
      </c>
      <c r="L14" s="3">
        <v>25</v>
      </c>
      <c r="M14" s="3">
        <v>10</v>
      </c>
      <c r="N14" s="3">
        <v>20</v>
      </c>
      <c r="O14" s="3">
        <f>110+385+500</f>
        <v>995</v>
      </c>
      <c r="P14" s="3">
        <v>400</v>
      </c>
      <c r="Q14" s="3">
        <v>2</v>
      </c>
      <c r="R14" s="3">
        <v>79</v>
      </c>
      <c r="S14" s="3">
        <v>31</v>
      </c>
    </row>
    <row r="15" spans="1:19" x14ac:dyDescent="0.3">
      <c r="A15" s="68"/>
      <c r="B15" s="29">
        <v>45992</v>
      </c>
      <c r="C15" s="11">
        <v>20</v>
      </c>
      <c r="D15" s="23">
        <v>52</v>
      </c>
      <c r="E15" s="2">
        <v>0</v>
      </c>
      <c r="F15" s="2">
        <v>0</v>
      </c>
      <c r="G15" s="2">
        <v>0</v>
      </c>
      <c r="H15" s="2">
        <v>19</v>
      </c>
      <c r="I15" s="19">
        <f>459+370</f>
        <v>829</v>
      </c>
      <c r="J15" s="8">
        <v>9</v>
      </c>
      <c r="K15" s="11">
        <v>6</v>
      </c>
      <c r="L15" s="2">
        <v>10</v>
      </c>
      <c r="M15" s="2">
        <v>6</v>
      </c>
      <c r="N15" s="2">
        <v>13</v>
      </c>
      <c r="O15" s="2">
        <f>90+60</f>
        <v>150</v>
      </c>
      <c r="P15" s="2">
        <v>250</v>
      </c>
      <c r="Q15" s="2">
        <v>2</v>
      </c>
      <c r="R15" s="2">
        <v>47</v>
      </c>
      <c r="S15" s="2">
        <v>19</v>
      </c>
    </row>
    <row r="16" spans="1:19" x14ac:dyDescent="0.3">
      <c r="A16" s="68"/>
      <c r="B16" s="29">
        <v>46023</v>
      </c>
      <c r="C16" s="11">
        <v>22</v>
      </c>
      <c r="D16" s="23">
        <v>84</v>
      </c>
      <c r="E16" s="2">
        <v>0</v>
      </c>
      <c r="F16" s="2">
        <v>0</v>
      </c>
      <c r="G16" s="2">
        <v>0</v>
      </c>
      <c r="H16" s="2">
        <v>0</v>
      </c>
      <c r="I16" s="19">
        <v>12</v>
      </c>
      <c r="J16" s="8">
        <v>23</v>
      </c>
      <c r="K16" s="11">
        <v>18</v>
      </c>
      <c r="L16" s="2">
        <v>6</v>
      </c>
      <c r="M16" s="2">
        <v>2</v>
      </c>
      <c r="N16" s="2">
        <v>10</v>
      </c>
      <c r="O16" s="2">
        <f>230+500</f>
        <v>730</v>
      </c>
      <c r="P16" s="2">
        <v>200</v>
      </c>
      <c r="Q16" s="2">
        <v>0</v>
      </c>
      <c r="R16" s="2">
        <v>55</v>
      </c>
      <c r="S16" s="2">
        <v>13</v>
      </c>
    </row>
    <row r="17" spans="1:19" x14ac:dyDescent="0.3">
      <c r="A17" s="68"/>
      <c r="B17" s="29">
        <v>46054</v>
      </c>
      <c r="C17" s="11">
        <v>24</v>
      </c>
      <c r="D17" s="23">
        <v>182</v>
      </c>
      <c r="E17" s="2">
        <v>0</v>
      </c>
      <c r="F17" s="2">
        <v>0</v>
      </c>
      <c r="G17" s="2">
        <v>0</v>
      </c>
      <c r="H17" s="2">
        <v>13</v>
      </c>
      <c r="I17" s="19">
        <v>190</v>
      </c>
      <c r="J17" s="8">
        <v>13</v>
      </c>
      <c r="K17" s="11">
        <v>16</v>
      </c>
      <c r="L17" s="2">
        <v>6</v>
      </c>
      <c r="M17" s="2">
        <v>3</v>
      </c>
      <c r="N17" s="2">
        <v>20</v>
      </c>
      <c r="O17" s="2">
        <f>200+215+200</f>
        <v>615</v>
      </c>
      <c r="P17" s="2">
        <v>250</v>
      </c>
      <c r="Q17" s="2">
        <v>1</v>
      </c>
      <c r="R17" s="2">
        <v>45</v>
      </c>
      <c r="S17" s="2">
        <v>11</v>
      </c>
    </row>
    <row r="18" spans="1:19" x14ac:dyDescent="0.3">
      <c r="A18" s="68"/>
      <c r="B18" s="29">
        <v>46082</v>
      </c>
      <c r="C18" s="11">
        <v>104</v>
      </c>
      <c r="D18" s="23">
        <v>124</v>
      </c>
      <c r="E18" s="2">
        <v>0</v>
      </c>
      <c r="F18" s="2">
        <v>0</v>
      </c>
      <c r="G18" s="2">
        <v>1140</v>
      </c>
      <c r="H18" s="2">
        <v>3</v>
      </c>
      <c r="I18" s="19">
        <v>30</v>
      </c>
      <c r="J18" s="8">
        <v>15</v>
      </c>
      <c r="K18" s="11">
        <v>20</v>
      </c>
      <c r="L18" s="2">
        <v>41</v>
      </c>
      <c r="M18" s="2">
        <v>14</v>
      </c>
      <c r="N18" s="2">
        <v>16</v>
      </c>
      <c r="O18" s="2">
        <f>70+40</f>
        <v>110</v>
      </c>
      <c r="P18" s="2">
        <v>200</v>
      </c>
      <c r="Q18" s="2">
        <v>2</v>
      </c>
      <c r="R18" s="2">
        <v>104</v>
      </c>
      <c r="S18" s="2">
        <v>9</v>
      </c>
    </row>
    <row r="19" spans="1:19" x14ac:dyDescent="0.3">
      <c r="A19" s="68"/>
      <c r="B19" s="29">
        <v>46113</v>
      </c>
      <c r="C19" s="11">
        <v>110</v>
      </c>
      <c r="D19" s="23">
        <v>160</v>
      </c>
      <c r="E19" s="2">
        <v>0</v>
      </c>
      <c r="F19" s="2">
        <v>0</v>
      </c>
      <c r="G19" s="2">
        <v>540</v>
      </c>
      <c r="H19" s="2">
        <v>0</v>
      </c>
      <c r="I19" s="19">
        <v>5</v>
      </c>
      <c r="J19" s="8">
        <v>31</v>
      </c>
      <c r="K19" s="11">
        <v>12</v>
      </c>
      <c r="L19" s="2">
        <v>20</v>
      </c>
      <c r="M19" s="2">
        <v>4</v>
      </c>
      <c r="N19" s="2">
        <v>12</v>
      </c>
      <c r="O19" s="2">
        <v>0</v>
      </c>
      <c r="P19" s="2">
        <v>180</v>
      </c>
      <c r="Q19" s="2">
        <v>3</v>
      </c>
      <c r="R19" s="2">
        <v>90</v>
      </c>
      <c r="S19" s="2">
        <v>15</v>
      </c>
    </row>
    <row r="20" spans="1:19" x14ac:dyDescent="0.3">
      <c r="A20" s="68"/>
      <c r="B20" s="29">
        <v>46143</v>
      </c>
      <c r="C20" s="11">
        <v>40</v>
      </c>
      <c r="D20" s="23">
        <v>44</v>
      </c>
      <c r="E20" s="2">
        <v>0</v>
      </c>
      <c r="F20" s="2">
        <v>0</v>
      </c>
      <c r="G20" s="2">
        <v>0</v>
      </c>
      <c r="H20" s="2">
        <v>0</v>
      </c>
      <c r="I20" s="19">
        <v>35</v>
      </c>
      <c r="J20" s="8">
        <v>107</v>
      </c>
      <c r="K20" s="11">
        <v>10</v>
      </c>
      <c r="L20" s="2">
        <v>11</v>
      </c>
      <c r="M20" s="2">
        <v>2</v>
      </c>
      <c r="N20" s="2">
        <v>10</v>
      </c>
      <c r="O20" s="2">
        <v>0</v>
      </c>
      <c r="P20" s="2">
        <v>170</v>
      </c>
      <c r="Q20" s="2">
        <v>0</v>
      </c>
      <c r="R20" s="2">
        <v>70</v>
      </c>
      <c r="S20" s="2">
        <v>65</v>
      </c>
    </row>
    <row r="21" spans="1:19" x14ac:dyDescent="0.3">
      <c r="A21" s="68"/>
      <c r="B21" s="29">
        <v>46174</v>
      </c>
      <c r="C21" s="11">
        <v>20</v>
      </c>
      <c r="D21" s="23">
        <v>90</v>
      </c>
      <c r="E21" s="2">
        <v>0</v>
      </c>
      <c r="F21" s="2">
        <v>0</v>
      </c>
      <c r="G21" s="2">
        <v>0</v>
      </c>
      <c r="H21" s="2">
        <v>0</v>
      </c>
      <c r="I21" s="19">
        <v>0</v>
      </c>
      <c r="J21" s="8">
        <v>110</v>
      </c>
      <c r="K21" s="11">
        <v>17</v>
      </c>
      <c r="L21" s="2">
        <v>27</v>
      </c>
      <c r="M21" s="2">
        <v>0</v>
      </c>
      <c r="N21" s="2">
        <v>20</v>
      </c>
      <c r="O21" s="2">
        <v>0</v>
      </c>
      <c r="P21" s="2">
        <v>150</v>
      </c>
      <c r="Q21" s="2">
        <v>0</v>
      </c>
      <c r="R21" s="2">
        <v>80</v>
      </c>
      <c r="S21" s="2">
        <v>25</v>
      </c>
    </row>
    <row r="22" spans="1:19" ht="15" thickBot="1" x14ac:dyDescent="0.35">
      <c r="A22" s="68"/>
      <c r="B22" s="31">
        <v>46204</v>
      </c>
      <c r="C22" s="14">
        <v>18</v>
      </c>
      <c r="D22" s="24">
        <v>46</v>
      </c>
      <c r="E22" s="12">
        <v>0</v>
      </c>
      <c r="F22" s="27">
        <v>0</v>
      </c>
      <c r="G22" s="12">
        <v>0</v>
      </c>
      <c r="H22" s="12">
        <v>0</v>
      </c>
      <c r="I22" s="20">
        <v>0</v>
      </c>
      <c r="J22" s="13">
        <v>145</v>
      </c>
      <c r="K22" s="14">
        <v>14</v>
      </c>
      <c r="L22" s="12">
        <v>12</v>
      </c>
      <c r="M22" s="12">
        <v>4</v>
      </c>
      <c r="N22" s="12">
        <v>6</v>
      </c>
      <c r="O22" s="12">
        <v>0</v>
      </c>
      <c r="P22" s="12">
        <v>0</v>
      </c>
      <c r="Q22" s="12">
        <v>0</v>
      </c>
      <c r="R22" s="12">
        <v>68</v>
      </c>
      <c r="S22" s="12">
        <v>35</v>
      </c>
    </row>
    <row r="23" spans="1:19" s="1" customFormat="1" ht="15" thickBot="1" x14ac:dyDescent="0.35">
      <c r="A23" s="69"/>
      <c r="B23" s="34" t="s">
        <v>0</v>
      </c>
      <c r="C23" s="57">
        <f t="shared" ref="C23:S23" si="1">+C14+C15+C16+C17+C18+C19+C20+C21+C22</f>
        <v>398</v>
      </c>
      <c r="D23" s="51">
        <f t="shared" si="1"/>
        <v>796</v>
      </c>
      <c r="E23" s="51">
        <f t="shared" si="1"/>
        <v>0</v>
      </c>
      <c r="F23" s="51">
        <f t="shared" si="1"/>
        <v>0</v>
      </c>
      <c r="G23" s="51">
        <f t="shared" si="1"/>
        <v>1680</v>
      </c>
      <c r="H23" s="51">
        <f t="shared" si="1"/>
        <v>60</v>
      </c>
      <c r="I23" s="51">
        <f t="shared" si="1"/>
        <v>2260</v>
      </c>
      <c r="J23" s="51">
        <f t="shared" si="1"/>
        <v>453</v>
      </c>
      <c r="K23" s="51">
        <f t="shared" si="1"/>
        <v>123</v>
      </c>
      <c r="L23" s="51">
        <f t="shared" si="1"/>
        <v>158</v>
      </c>
      <c r="M23" s="51">
        <f t="shared" si="1"/>
        <v>45</v>
      </c>
      <c r="N23" s="51">
        <f t="shared" si="1"/>
        <v>127</v>
      </c>
      <c r="O23" s="51">
        <f t="shared" si="1"/>
        <v>2600</v>
      </c>
      <c r="P23" s="51">
        <f t="shared" si="1"/>
        <v>1800</v>
      </c>
      <c r="Q23" s="51">
        <f t="shared" si="1"/>
        <v>10</v>
      </c>
      <c r="R23" s="51">
        <f t="shared" si="1"/>
        <v>638</v>
      </c>
      <c r="S23" s="51">
        <f t="shared" si="1"/>
        <v>223</v>
      </c>
    </row>
    <row r="24" spans="1:19" x14ac:dyDescent="0.3">
      <c r="A24" s="68" t="s">
        <v>23</v>
      </c>
      <c r="B24" s="29">
        <v>45962</v>
      </c>
      <c r="C24" s="10">
        <v>48</v>
      </c>
      <c r="D24" s="22">
        <v>12</v>
      </c>
      <c r="E24" s="3">
        <v>0</v>
      </c>
      <c r="F24" s="3">
        <v>0</v>
      </c>
      <c r="G24" s="3">
        <v>0</v>
      </c>
      <c r="H24" s="3">
        <v>0</v>
      </c>
      <c r="I24" s="18">
        <v>0</v>
      </c>
      <c r="J24" s="7">
        <v>0</v>
      </c>
      <c r="K24" s="10">
        <v>15</v>
      </c>
      <c r="L24" s="3">
        <v>40</v>
      </c>
      <c r="M24" s="3">
        <v>0</v>
      </c>
      <c r="N24" s="3">
        <v>27</v>
      </c>
      <c r="O24" s="3">
        <v>1000</v>
      </c>
      <c r="P24" s="3">
        <v>100</v>
      </c>
      <c r="Q24" s="3">
        <v>0</v>
      </c>
      <c r="R24" s="3">
        <v>35</v>
      </c>
      <c r="S24" s="3">
        <v>35</v>
      </c>
    </row>
    <row r="25" spans="1:19" x14ac:dyDescent="0.3">
      <c r="A25" s="68"/>
      <c r="B25" s="29">
        <v>45992</v>
      </c>
      <c r="C25" s="11">
        <v>28</v>
      </c>
      <c r="D25" s="23">
        <v>38</v>
      </c>
      <c r="E25" s="2">
        <v>0</v>
      </c>
      <c r="F25" s="2">
        <v>0</v>
      </c>
      <c r="G25" s="2">
        <v>0</v>
      </c>
      <c r="H25" s="2">
        <v>0</v>
      </c>
      <c r="I25" s="19">
        <v>0</v>
      </c>
      <c r="J25" s="8">
        <v>9</v>
      </c>
      <c r="K25" s="11">
        <v>22</v>
      </c>
      <c r="L25" s="2">
        <v>32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55</v>
      </c>
      <c r="S25" s="2">
        <v>14</v>
      </c>
    </row>
    <row r="26" spans="1:19" x14ac:dyDescent="0.3">
      <c r="A26" s="68"/>
      <c r="B26" s="29">
        <v>46023</v>
      </c>
      <c r="C26" s="11">
        <v>30</v>
      </c>
      <c r="D26" s="23">
        <v>40</v>
      </c>
      <c r="E26" s="2">
        <v>0</v>
      </c>
      <c r="F26" s="2">
        <v>0</v>
      </c>
      <c r="G26" s="2">
        <v>400</v>
      </c>
      <c r="H26" s="2">
        <v>0</v>
      </c>
      <c r="I26" s="19">
        <v>0</v>
      </c>
      <c r="J26" s="8">
        <v>18</v>
      </c>
      <c r="K26" s="11">
        <v>20</v>
      </c>
      <c r="L26" s="2">
        <v>55</v>
      </c>
      <c r="M26" s="2">
        <v>5</v>
      </c>
      <c r="N26" s="2">
        <v>0</v>
      </c>
      <c r="O26" s="2">
        <f>250+320</f>
        <v>570</v>
      </c>
      <c r="P26" s="2">
        <v>0</v>
      </c>
      <c r="Q26" s="2">
        <v>2</v>
      </c>
      <c r="R26" s="2">
        <v>30</v>
      </c>
      <c r="S26" s="2">
        <v>16</v>
      </c>
    </row>
    <row r="27" spans="1:19" x14ac:dyDescent="0.3">
      <c r="A27" s="68"/>
      <c r="B27" s="29">
        <v>46054</v>
      </c>
      <c r="C27" s="11">
        <v>32</v>
      </c>
      <c r="D27" s="23">
        <v>79</v>
      </c>
      <c r="E27" s="2">
        <v>0</v>
      </c>
      <c r="F27" s="2">
        <v>25</v>
      </c>
      <c r="G27" s="2">
        <v>250</v>
      </c>
      <c r="H27" s="2">
        <v>0</v>
      </c>
      <c r="I27" s="19">
        <v>0</v>
      </c>
      <c r="J27" s="8">
        <v>16</v>
      </c>
      <c r="K27" s="11">
        <v>15</v>
      </c>
      <c r="L27" s="2">
        <v>45</v>
      </c>
      <c r="M27" s="2">
        <v>0</v>
      </c>
      <c r="N27" s="2">
        <v>0</v>
      </c>
      <c r="O27" s="2">
        <v>200</v>
      </c>
      <c r="P27" s="2">
        <v>0</v>
      </c>
      <c r="Q27" s="2">
        <v>4</v>
      </c>
      <c r="R27" s="2">
        <v>50</v>
      </c>
      <c r="S27" s="2">
        <v>11</v>
      </c>
    </row>
    <row r="28" spans="1:19" ht="15" thickBot="1" x14ac:dyDescent="0.35">
      <c r="A28" s="68"/>
      <c r="B28" s="29">
        <v>46082</v>
      </c>
      <c r="C28" s="17">
        <v>102</v>
      </c>
      <c r="D28" s="23">
        <v>38</v>
      </c>
      <c r="E28" s="2">
        <v>4</v>
      </c>
      <c r="F28" s="2">
        <v>0</v>
      </c>
      <c r="G28" s="2">
        <v>220</v>
      </c>
      <c r="H28" s="2">
        <v>10</v>
      </c>
      <c r="I28" s="19">
        <v>0</v>
      </c>
      <c r="J28" s="8">
        <v>26</v>
      </c>
      <c r="K28" s="11">
        <v>12</v>
      </c>
      <c r="L28" s="2">
        <v>10</v>
      </c>
      <c r="M28" s="2">
        <v>0</v>
      </c>
      <c r="N28" s="2">
        <v>1</v>
      </c>
      <c r="O28" s="2">
        <v>150</v>
      </c>
      <c r="P28" s="2">
        <v>0</v>
      </c>
      <c r="Q28" s="2">
        <v>1</v>
      </c>
      <c r="R28" s="2">
        <v>45</v>
      </c>
      <c r="S28" s="2">
        <v>8</v>
      </c>
    </row>
    <row r="29" spans="1:19" x14ac:dyDescent="0.3">
      <c r="A29" s="68"/>
      <c r="B29" s="29">
        <v>46113</v>
      </c>
      <c r="C29" s="11">
        <v>119</v>
      </c>
      <c r="D29" s="23">
        <v>28</v>
      </c>
      <c r="E29" s="2">
        <v>8</v>
      </c>
      <c r="F29" s="2">
        <v>0</v>
      </c>
      <c r="G29" s="2">
        <v>200</v>
      </c>
      <c r="H29" s="2">
        <v>0</v>
      </c>
      <c r="I29" s="19">
        <v>0</v>
      </c>
      <c r="J29" s="8">
        <v>16</v>
      </c>
      <c r="K29" s="11">
        <v>17</v>
      </c>
      <c r="L29" s="2">
        <v>25</v>
      </c>
      <c r="M29" s="2">
        <v>0</v>
      </c>
      <c r="N29" s="2">
        <v>16</v>
      </c>
      <c r="O29" s="2">
        <v>0</v>
      </c>
      <c r="P29" s="2">
        <v>450</v>
      </c>
      <c r="Q29" s="2">
        <v>5</v>
      </c>
      <c r="R29" s="2">
        <v>85</v>
      </c>
      <c r="S29" s="2">
        <v>8</v>
      </c>
    </row>
    <row r="30" spans="1:19" x14ac:dyDescent="0.3">
      <c r="A30" s="68"/>
      <c r="B30" s="29">
        <v>46143</v>
      </c>
      <c r="C30" s="11">
        <v>48</v>
      </c>
      <c r="D30" s="23">
        <v>68</v>
      </c>
      <c r="E30" s="2">
        <v>2</v>
      </c>
      <c r="F30" s="2">
        <v>0</v>
      </c>
      <c r="G30" s="2">
        <v>200</v>
      </c>
      <c r="H30" s="2">
        <v>30</v>
      </c>
      <c r="I30" s="19">
        <v>0</v>
      </c>
      <c r="J30" s="8">
        <v>76</v>
      </c>
      <c r="K30" s="11">
        <v>20</v>
      </c>
      <c r="L30" s="2">
        <v>45</v>
      </c>
      <c r="M30" s="2">
        <v>6</v>
      </c>
      <c r="N30" s="2">
        <v>3</v>
      </c>
      <c r="O30" s="2">
        <v>400</v>
      </c>
      <c r="P30" s="2">
        <v>450</v>
      </c>
      <c r="Q30" s="2">
        <v>0</v>
      </c>
      <c r="R30" s="2">
        <v>135</v>
      </c>
      <c r="S30" s="2">
        <v>55</v>
      </c>
    </row>
    <row r="31" spans="1:19" x14ac:dyDescent="0.3">
      <c r="A31" s="68"/>
      <c r="B31" s="29">
        <v>46174</v>
      </c>
      <c r="C31" s="11">
        <v>26</v>
      </c>
      <c r="D31" s="23">
        <v>15</v>
      </c>
      <c r="E31" s="2">
        <v>2</v>
      </c>
      <c r="F31" s="2">
        <v>0</v>
      </c>
      <c r="G31" s="2">
        <v>200</v>
      </c>
      <c r="H31" s="2">
        <v>0</v>
      </c>
      <c r="I31" s="19">
        <v>0</v>
      </c>
      <c r="J31" s="8">
        <v>96</v>
      </c>
      <c r="K31" s="11">
        <v>8</v>
      </c>
      <c r="L31" s="2">
        <v>22</v>
      </c>
      <c r="M31" s="2">
        <v>0</v>
      </c>
      <c r="N31" s="2">
        <v>0</v>
      </c>
      <c r="O31" s="2">
        <f>583+185</f>
        <v>768</v>
      </c>
      <c r="P31" s="2">
        <v>0</v>
      </c>
      <c r="Q31" s="2">
        <v>0</v>
      </c>
      <c r="R31" s="2">
        <v>65</v>
      </c>
      <c r="S31" s="2">
        <v>22</v>
      </c>
    </row>
    <row r="32" spans="1:19" ht="15" thickBot="1" x14ac:dyDescent="0.35">
      <c r="A32" s="68"/>
      <c r="B32" s="29">
        <v>46204</v>
      </c>
      <c r="C32" s="17">
        <v>28</v>
      </c>
      <c r="D32" s="25">
        <v>22</v>
      </c>
      <c r="E32" s="15">
        <v>0</v>
      </c>
      <c r="F32" s="15">
        <v>0</v>
      </c>
      <c r="G32" s="15"/>
      <c r="H32" s="15">
        <v>0</v>
      </c>
      <c r="I32" s="21">
        <v>0</v>
      </c>
      <c r="J32" s="16">
        <v>85</v>
      </c>
      <c r="K32" s="17">
        <v>13</v>
      </c>
      <c r="L32" s="15">
        <v>15</v>
      </c>
      <c r="M32" s="15">
        <v>0</v>
      </c>
      <c r="N32" s="15">
        <v>0</v>
      </c>
      <c r="O32" s="15">
        <v>0</v>
      </c>
      <c r="P32" s="15">
        <v>0</v>
      </c>
      <c r="Q32" s="15">
        <v>1</v>
      </c>
      <c r="R32" s="15">
        <v>45</v>
      </c>
      <c r="S32" s="15">
        <v>18</v>
      </c>
    </row>
    <row r="33" spans="1:19" s="1" customFormat="1" ht="15" thickBot="1" x14ac:dyDescent="0.35">
      <c r="A33" s="69"/>
      <c r="B33" s="34" t="s">
        <v>0</v>
      </c>
      <c r="C33" s="57">
        <f t="shared" ref="C33:S33" si="2">+C24+C25+C26+C27+C28+C29+C30+C31+C32</f>
        <v>461</v>
      </c>
      <c r="D33" s="51">
        <f t="shared" si="2"/>
        <v>340</v>
      </c>
      <c r="E33" s="51">
        <f t="shared" si="2"/>
        <v>16</v>
      </c>
      <c r="F33" s="51">
        <f t="shared" si="2"/>
        <v>25</v>
      </c>
      <c r="G33" s="51">
        <f t="shared" si="2"/>
        <v>1470</v>
      </c>
      <c r="H33" s="51">
        <f t="shared" si="2"/>
        <v>40</v>
      </c>
      <c r="I33" s="51">
        <f t="shared" si="2"/>
        <v>0</v>
      </c>
      <c r="J33" s="51">
        <f t="shared" si="2"/>
        <v>342</v>
      </c>
      <c r="K33" s="51">
        <f t="shared" si="2"/>
        <v>142</v>
      </c>
      <c r="L33" s="51">
        <f t="shared" si="2"/>
        <v>289</v>
      </c>
      <c r="M33" s="51">
        <f t="shared" si="2"/>
        <v>11</v>
      </c>
      <c r="N33" s="51">
        <f t="shared" si="2"/>
        <v>47</v>
      </c>
      <c r="O33" s="51">
        <f t="shared" si="2"/>
        <v>3088</v>
      </c>
      <c r="P33" s="51">
        <f t="shared" si="2"/>
        <v>1000</v>
      </c>
      <c r="Q33" s="51">
        <f t="shared" si="2"/>
        <v>13</v>
      </c>
      <c r="R33" s="51">
        <f t="shared" si="2"/>
        <v>545</v>
      </c>
      <c r="S33" s="51">
        <f t="shared" si="2"/>
        <v>187</v>
      </c>
    </row>
    <row r="34" spans="1:19" x14ac:dyDescent="0.3">
      <c r="A34" s="68" t="s">
        <v>24</v>
      </c>
      <c r="B34" s="29">
        <v>45962</v>
      </c>
      <c r="C34" s="58">
        <v>15</v>
      </c>
      <c r="D34" s="22">
        <v>140</v>
      </c>
      <c r="E34" s="3">
        <v>0</v>
      </c>
      <c r="F34" s="3">
        <v>0</v>
      </c>
      <c r="G34" s="3">
        <v>0</v>
      </c>
      <c r="H34" s="3">
        <v>0</v>
      </c>
      <c r="I34" s="18">
        <v>220</v>
      </c>
      <c r="J34" s="7">
        <v>0</v>
      </c>
      <c r="K34" s="10">
        <v>20</v>
      </c>
      <c r="L34" s="10">
        <v>35</v>
      </c>
      <c r="M34" s="3">
        <v>3</v>
      </c>
      <c r="N34" s="3">
        <v>0</v>
      </c>
      <c r="O34" s="3">
        <v>0</v>
      </c>
      <c r="P34" s="3">
        <v>0</v>
      </c>
      <c r="Q34" s="3">
        <v>0</v>
      </c>
      <c r="R34" s="3">
        <v>80</v>
      </c>
      <c r="S34" s="3">
        <v>19</v>
      </c>
    </row>
    <row r="35" spans="1:19" x14ac:dyDescent="0.3">
      <c r="A35" s="68"/>
      <c r="B35" s="29">
        <v>45992</v>
      </c>
      <c r="C35" s="28">
        <v>45</v>
      </c>
      <c r="D35" s="23">
        <v>90</v>
      </c>
      <c r="E35" s="2">
        <v>9</v>
      </c>
      <c r="F35" s="2">
        <v>0</v>
      </c>
      <c r="G35" s="2">
        <v>0</v>
      </c>
      <c r="H35" s="2">
        <v>30</v>
      </c>
      <c r="I35" s="19">
        <f>136+780+358</f>
        <v>1274</v>
      </c>
      <c r="J35" s="8">
        <v>16</v>
      </c>
      <c r="K35" s="11">
        <v>17</v>
      </c>
      <c r="L35" s="11">
        <v>30</v>
      </c>
      <c r="M35" s="2">
        <v>27</v>
      </c>
      <c r="N35" s="2">
        <f>25+49</f>
        <v>74</v>
      </c>
      <c r="O35" s="2">
        <v>290</v>
      </c>
      <c r="P35" s="2">
        <v>160</v>
      </c>
      <c r="Q35" s="2">
        <v>5</v>
      </c>
      <c r="R35" s="2">
        <v>115</v>
      </c>
      <c r="S35" s="2">
        <v>9</v>
      </c>
    </row>
    <row r="36" spans="1:19" x14ac:dyDescent="0.3">
      <c r="A36" s="68"/>
      <c r="B36" s="29">
        <v>46023</v>
      </c>
      <c r="C36" s="28">
        <v>35</v>
      </c>
      <c r="D36" s="23">
        <v>116</v>
      </c>
      <c r="E36" s="2">
        <v>14</v>
      </c>
      <c r="F36" s="2">
        <v>0</v>
      </c>
      <c r="G36" s="2">
        <v>600</v>
      </c>
      <c r="H36" s="2">
        <v>0</v>
      </c>
      <c r="I36" s="19">
        <v>0</v>
      </c>
      <c r="J36" s="8">
        <v>29</v>
      </c>
      <c r="K36" s="11">
        <v>20</v>
      </c>
      <c r="L36" s="11">
        <v>60</v>
      </c>
      <c r="M36" s="2">
        <v>2</v>
      </c>
      <c r="N36" s="2">
        <v>0</v>
      </c>
      <c r="O36" s="2">
        <v>530</v>
      </c>
      <c r="P36" s="2">
        <v>340</v>
      </c>
      <c r="Q36" s="2">
        <v>2</v>
      </c>
      <c r="R36" s="2">
        <v>60</v>
      </c>
      <c r="S36" s="2">
        <v>10</v>
      </c>
    </row>
    <row r="37" spans="1:19" x14ac:dyDescent="0.3">
      <c r="A37" s="68"/>
      <c r="B37" s="29">
        <v>46054</v>
      </c>
      <c r="C37" s="28">
        <v>43</v>
      </c>
      <c r="D37" s="23">
        <v>166</v>
      </c>
      <c r="E37" s="2">
        <v>5</v>
      </c>
      <c r="F37" s="2">
        <v>25</v>
      </c>
      <c r="G37" s="2">
        <v>200</v>
      </c>
      <c r="H37" s="2">
        <v>0</v>
      </c>
      <c r="I37" s="19">
        <f>264+70</f>
        <v>334</v>
      </c>
      <c r="J37" s="8">
        <v>11</v>
      </c>
      <c r="K37" s="11">
        <v>25</v>
      </c>
      <c r="L37" s="2">
        <v>90</v>
      </c>
      <c r="M37" s="2">
        <v>18</v>
      </c>
      <c r="N37" s="2">
        <v>0</v>
      </c>
      <c r="O37" s="2">
        <v>0</v>
      </c>
      <c r="P37" s="2">
        <v>160</v>
      </c>
      <c r="Q37" s="2">
        <v>2</v>
      </c>
      <c r="R37" s="2">
        <v>75</v>
      </c>
      <c r="S37" s="2">
        <v>8</v>
      </c>
    </row>
    <row r="38" spans="1:19" x14ac:dyDescent="0.3">
      <c r="A38" s="68"/>
      <c r="B38" s="29">
        <v>46082</v>
      </c>
      <c r="C38" s="28">
        <v>55</v>
      </c>
      <c r="D38" s="23">
        <f>374-67</f>
        <v>307</v>
      </c>
      <c r="E38" s="2">
        <v>8</v>
      </c>
      <c r="F38" s="2">
        <v>0</v>
      </c>
      <c r="G38" s="2">
        <v>800</v>
      </c>
      <c r="H38" s="2">
        <v>220</v>
      </c>
      <c r="I38" s="19">
        <f>450+72</f>
        <v>522</v>
      </c>
      <c r="J38" s="8">
        <v>15</v>
      </c>
      <c r="K38" s="11">
        <v>14</v>
      </c>
      <c r="L38" s="2">
        <v>70</v>
      </c>
      <c r="M38" s="2">
        <v>10</v>
      </c>
      <c r="N38" s="2">
        <v>11</v>
      </c>
      <c r="O38" s="2">
        <v>0</v>
      </c>
      <c r="P38" s="2">
        <v>50</v>
      </c>
      <c r="Q38" s="2">
        <v>7</v>
      </c>
      <c r="R38" s="2">
        <v>90</v>
      </c>
      <c r="S38" s="2">
        <v>9</v>
      </c>
    </row>
    <row r="39" spans="1:19" x14ac:dyDescent="0.3">
      <c r="A39" s="68"/>
      <c r="B39" s="29">
        <v>46113</v>
      </c>
      <c r="C39" s="11">
        <v>60</v>
      </c>
      <c r="D39" s="23">
        <v>312</v>
      </c>
      <c r="E39" s="2">
        <v>10</v>
      </c>
      <c r="F39" s="2">
        <v>0</v>
      </c>
      <c r="G39" s="2">
        <v>550</v>
      </c>
      <c r="H39" s="2">
        <v>100</v>
      </c>
      <c r="I39" s="19">
        <v>630</v>
      </c>
      <c r="J39" s="8">
        <v>22</v>
      </c>
      <c r="K39" s="11">
        <v>10</v>
      </c>
      <c r="L39" s="2">
        <v>42</v>
      </c>
      <c r="M39" s="2">
        <v>41</v>
      </c>
      <c r="N39" s="2">
        <v>180</v>
      </c>
      <c r="O39" s="2">
        <v>150</v>
      </c>
      <c r="P39" s="2">
        <v>270</v>
      </c>
      <c r="Q39" s="2">
        <v>1</v>
      </c>
      <c r="R39" s="2">
        <v>120</v>
      </c>
      <c r="S39" s="2">
        <v>30</v>
      </c>
    </row>
    <row r="40" spans="1:19" x14ac:dyDescent="0.3">
      <c r="A40" s="68"/>
      <c r="B40" s="29">
        <v>46143</v>
      </c>
      <c r="C40" s="11">
        <v>82</v>
      </c>
      <c r="D40" s="23">
        <v>435</v>
      </c>
      <c r="E40" s="2">
        <v>15</v>
      </c>
      <c r="F40" s="2">
        <v>0</v>
      </c>
      <c r="G40" s="2">
        <v>350</v>
      </c>
      <c r="H40" s="2">
        <v>0</v>
      </c>
      <c r="I40" s="19">
        <v>504</v>
      </c>
      <c r="J40" s="8">
        <v>58</v>
      </c>
      <c r="K40" s="11">
        <v>12</v>
      </c>
      <c r="L40" s="2">
        <v>24</v>
      </c>
      <c r="M40" s="2">
        <v>6</v>
      </c>
      <c r="N40" s="2">
        <v>60</v>
      </c>
      <c r="O40" s="2">
        <v>80</v>
      </c>
      <c r="P40" s="2">
        <v>520</v>
      </c>
      <c r="Q40" s="2">
        <v>5</v>
      </c>
      <c r="R40" s="2">
        <v>155</v>
      </c>
      <c r="S40" s="2">
        <v>83</v>
      </c>
    </row>
    <row r="41" spans="1:19" x14ac:dyDescent="0.3">
      <c r="A41" s="68"/>
      <c r="B41" s="29">
        <v>46174</v>
      </c>
      <c r="C41" s="11">
        <v>87</v>
      </c>
      <c r="D41" s="23">
        <v>134</v>
      </c>
      <c r="E41" s="2">
        <v>7</v>
      </c>
      <c r="F41" s="2">
        <v>0</v>
      </c>
      <c r="G41" s="2">
        <v>200</v>
      </c>
      <c r="H41" s="2">
        <v>0</v>
      </c>
      <c r="I41" s="19">
        <v>0</v>
      </c>
      <c r="J41" s="8">
        <v>73</v>
      </c>
      <c r="K41" s="11">
        <v>15</v>
      </c>
      <c r="L41" s="2">
        <v>12</v>
      </c>
      <c r="M41" s="2">
        <v>0</v>
      </c>
      <c r="N41" s="2">
        <v>0</v>
      </c>
      <c r="O41" s="2">
        <v>280</v>
      </c>
      <c r="P41" s="2">
        <v>0</v>
      </c>
      <c r="Q41" s="2">
        <v>0</v>
      </c>
      <c r="R41" s="2">
        <v>125</v>
      </c>
      <c r="S41" s="2">
        <v>25</v>
      </c>
    </row>
    <row r="42" spans="1:19" ht="15" thickBot="1" x14ac:dyDescent="0.35">
      <c r="A42" s="68"/>
      <c r="B42" s="29">
        <v>46204</v>
      </c>
      <c r="C42" s="17">
        <v>110</v>
      </c>
      <c r="D42" s="25">
        <v>95</v>
      </c>
      <c r="E42" s="15">
        <v>2</v>
      </c>
      <c r="F42" s="15">
        <v>0</v>
      </c>
      <c r="G42" s="15">
        <v>0</v>
      </c>
      <c r="H42" s="15">
        <v>0</v>
      </c>
      <c r="I42" s="21">
        <v>0</v>
      </c>
      <c r="J42" s="16">
        <v>91</v>
      </c>
      <c r="K42" s="17">
        <v>10</v>
      </c>
      <c r="L42" s="15">
        <v>20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70</v>
      </c>
      <c r="S42" s="15">
        <v>17</v>
      </c>
    </row>
    <row r="43" spans="1:19" s="1" customFormat="1" ht="15" thickBot="1" x14ac:dyDescent="0.35">
      <c r="A43" s="69"/>
      <c r="B43" s="34" t="s">
        <v>0</v>
      </c>
      <c r="C43" s="57">
        <f t="shared" ref="C43:S43" si="3">+C34+C35+C36+C37+C38+C39+C40+C41+C42</f>
        <v>532</v>
      </c>
      <c r="D43" s="51">
        <f t="shared" si="3"/>
        <v>1795</v>
      </c>
      <c r="E43" s="51">
        <f t="shared" si="3"/>
        <v>70</v>
      </c>
      <c r="F43" s="51">
        <f t="shared" si="3"/>
        <v>25</v>
      </c>
      <c r="G43" s="51">
        <f t="shared" si="3"/>
        <v>2700</v>
      </c>
      <c r="H43" s="51">
        <f t="shared" si="3"/>
        <v>350</v>
      </c>
      <c r="I43" s="51">
        <f t="shared" si="3"/>
        <v>3484</v>
      </c>
      <c r="J43" s="51">
        <f t="shared" si="3"/>
        <v>315</v>
      </c>
      <c r="K43" s="51">
        <f t="shared" si="3"/>
        <v>143</v>
      </c>
      <c r="L43" s="51">
        <f t="shared" si="3"/>
        <v>383</v>
      </c>
      <c r="M43" s="51">
        <f t="shared" si="3"/>
        <v>107</v>
      </c>
      <c r="N43" s="51">
        <f t="shared" si="3"/>
        <v>325</v>
      </c>
      <c r="O43" s="51">
        <f t="shared" si="3"/>
        <v>1330</v>
      </c>
      <c r="P43" s="51">
        <f t="shared" si="3"/>
        <v>1500</v>
      </c>
      <c r="Q43" s="51">
        <f t="shared" si="3"/>
        <v>22</v>
      </c>
      <c r="R43" s="51">
        <f t="shared" si="3"/>
        <v>890</v>
      </c>
      <c r="S43" s="51">
        <f t="shared" si="3"/>
        <v>210</v>
      </c>
    </row>
    <row r="44" spans="1:19" x14ac:dyDescent="0.3">
      <c r="A44" s="68" t="s">
        <v>25</v>
      </c>
      <c r="B44" s="29">
        <v>45962</v>
      </c>
      <c r="C44" s="10">
        <v>30</v>
      </c>
      <c r="D44" s="22">
        <v>160</v>
      </c>
      <c r="E44" s="3">
        <v>0</v>
      </c>
      <c r="F44" s="3">
        <v>0</v>
      </c>
      <c r="G44" s="3">
        <v>0</v>
      </c>
      <c r="H44" s="3">
        <v>87</v>
      </c>
      <c r="I44" s="18">
        <f>540+250+165</f>
        <v>955</v>
      </c>
      <c r="J44" s="7">
        <v>0</v>
      </c>
      <c r="K44" s="10">
        <v>12</v>
      </c>
      <c r="L44" s="3">
        <v>20</v>
      </c>
      <c r="M44" s="3">
        <v>5</v>
      </c>
      <c r="N44" s="3">
        <f>27+34</f>
        <v>61</v>
      </c>
      <c r="O44" s="3">
        <v>460</v>
      </c>
      <c r="P44" s="3">
        <v>400</v>
      </c>
      <c r="Q44" s="3">
        <v>0</v>
      </c>
      <c r="R44" s="3">
        <v>80</v>
      </c>
      <c r="S44" s="3">
        <v>27</v>
      </c>
    </row>
    <row r="45" spans="1:19" x14ac:dyDescent="0.3">
      <c r="A45" s="68"/>
      <c r="B45" s="29">
        <v>45992</v>
      </c>
      <c r="C45" s="11">
        <v>102</v>
      </c>
      <c r="D45" s="23">
        <v>211</v>
      </c>
      <c r="E45" s="2">
        <v>0</v>
      </c>
      <c r="F45" s="2">
        <v>0</v>
      </c>
      <c r="G45" s="2">
        <v>0</v>
      </c>
      <c r="H45" s="2">
        <v>5</v>
      </c>
      <c r="I45" s="19">
        <v>100</v>
      </c>
      <c r="J45" s="8">
        <v>16</v>
      </c>
      <c r="K45" s="11">
        <v>13</v>
      </c>
      <c r="L45" s="2">
        <v>55</v>
      </c>
      <c r="M45" s="2">
        <v>0</v>
      </c>
      <c r="N45" s="2">
        <v>2</v>
      </c>
      <c r="O45" s="2">
        <v>0</v>
      </c>
      <c r="P45" s="2">
        <v>0</v>
      </c>
      <c r="Q45" s="2">
        <v>2</v>
      </c>
      <c r="R45" s="2">
        <v>95</v>
      </c>
      <c r="S45" s="2">
        <v>13</v>
      </c>
    </row>
    <row r="46" spans="1:19" x14ac:dyDescent="0.3">
      <c r="A46" s="68"/>
      <c r="B46" s="29">
        <v>46023</v>
      </c>
      <c r="C46" s="11">
        <v>58</v>
      </c>
      <c r="D46" s="23">
        <v>347</v>
      </c>
      <c r="E46" s="2">
        <v>0</v>
      </c>
      <c r="F46" s="2">
        <v>25</v>
      </c>
      <c r="G46" s="2">
        <v>250</v>
      </c>
      <c r="H46" s="2">
        <v>0</v>
      </c>
      <c r="I46" s="19">
        <v>0</v>
      </c>
      <c r="J46" s="8">
        <v>11</v>
      </c>
      <c r="K46" s="11">
        <v>10</v>
      </c>
      <c r="L46" s="2">
        <v>105</v>
      </c>
      <c r="M46" s="2">
        <v>0</v>
      </c>
      <c r="N46" s="2">
        <v>0</v>
      </c>
      <c r="O46" s="2">
        <v>0</v>
      </c>
      <c r="P46" s="2">
        <v>0</v>
      </c>
      <c r="Q46" s="2">
        <v>1</v>
      </c>
      <c r="R46" s="2">
        <v>105</v>
      </c>
      <c r="S46" s="2">
        <v>11</v>
      </c>
    </row>
    <row r="47" spans="1:19" x14ac:dyDescent="0.3">
      <c r="A47" s="68"/>
      <c r="B47" s="29">
        <v>46054</v>
      </c>
      <c r="C47" s="11">
        <v>65</v>
      </c>
      <c r="D47" s="23">
        <v>412</v>
      </c>
      <c r="E47" s="2">
        <v>1</v>
      </c>
      <c r="F47" s="2">
        <v>0</v>
      </c>
      <c r="G47" s="2">
        <v>350</v>
      </c>
      <c r="H47" s="2">
        <v>16</v>
      </c>
      <c r="I47" s="19">
        <v>555</v>
      </c>
      <c r="J47" s="8">
        <v>15</v>
      </c>
      <c r="K47" s="11">
        <v>13</v>
      </c>
      <c r="L47" s="2">
        <v>92</v>
      </c>
      <c r="M47" s="2">
        <v>12</v>
      </c>
      <c r="N47" s="2">
        <f>21+13</f>
        <v>34</v>
      </c>
      <c r="O47" s="2">
        <v>1000</v>
      </c>
      <c r="P47" s="2">
        <v>400</v>
      </c>
      <c r="Q47" s="2">
        <v>1</v>
      </c>
      <c r="R47" s="2">
        <v>150</v>
      </c>
      <c r="S47" s="2">
        <v>13</v>
      </c>
    </row>
    <row r="48" spans="1:19" x14ac:dyDescent="0.3">
      <c r="A48" s="68"/>
      <c r="B48" s="29">
        <v>46082</v>
      </c>
      <c r="C48" s="11">
        <v>70</v>
      </c>
      <c r="D48" s="23">
        <v>116</v>
      </c>
      <c r="E48" s="2">
        <v>3</v>
      </c>
      <c r="F48" s="2">
        <v>0</v>
      </c>
      <c r="G48" s="2">
        <v>200</v>
      </c>
      <c r="H48" s="2">
        <v>0</v>
      </c>
      <c r="I48" s="19">
        <v>0</v>
      </c>
      <c r="J48" s="8">
        <v>33</v>
      </c>
      <c r="K48" s="11">
        <v>26</v>
      </c>
      <c r="L48" s="2">
        <v>75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185</v>
      </c>
      <c r="S48" s="2">
        <v>9</v>
      </c>
    </row>
    <row r="49" spans="1:19" x14ac:dyDescent="0.3">
      <c r="A49" s="68"/>
      <c r="B49" s="29">
        <v>46113</v>
      </c>
      <c r="C49" s="11">
        <v>52</v>
      </c>
      <c r="D49" s="23">
        <v>79</v>
      </c>
      <c r="E49" s="2">
        <v>2</v>
      </c>
      <c r="F49" s="2">
        <v>0</v>
      </c>
      <c r="G49" s="2">
        <v>0</v>
      </c>
      <c r="H49" s="2">
        <v>0</v>
      </c>
      <c r="I49" s="19">
        <v>200</v>
      </c>
      <c r="J49" s="8">
        <v>26</v>
      </c>
      <c r="K49" s="11">
        <v>10</v>
      </c>
      <c r="L49" s="2">
        <v>40</v>
      </c>
      <c r="M49" s="2">
        <v>12</v>
      </c>
      <c r="N49" s="2">
        <v>38</v>
      </c>
      <c r="O49" s="2">
        <v>50</v>
      </c>
      <c r="P49" s="2">
        <v>0</v>
      </c>
      <c r="Q49" s="2">
        <v>0</v>
      </c>
      <c r="R49" s="2">
        <v>60</v>
      </c>
      <c r="S49" s="2">
        <v>21</v>
      </c>
    </row>
    <row r="50" spans="1:19" x14ac:dyDescent="0.3">
      <c r="A50" s="68"/>
      <c r="B50" s="29">
        <v>46143</v>
      </c>
      <c r="C50" s="11">
        <v>48</v>
      </c>
      <c r="D50" s="23">
        <v>85</v>
      </c>
      <c r="E50" s="2">
        <v>1</v>
      </c>
      <c r="F50" s="2">
        <v>0</v>
      </c>
      <c r="G50" s="2">
        <v>0</v>
      </c>
      <c r="H50" s="2">
        <v>13</v>
      </c>
      <c r="I50" s="19">
        <v>210</v>
      </c>
      <c r="J50" s="8">
        <v>69</v>
      </c>
      <c r="K50" s="11">
        <v>17</v>
      </c>
      <c r="L50" s="2">
        <v>45</v>
      </c>
      <c r="M50" s="2">
        <v>16</v>
      </c>
      <c r="N50" s="2">
        <v>29</v>
      </c>
      <c r="O50" s="2">
        <v>0</v>
      </c>
      <c r="P50" s="2">
        <v>200</v>
      </c>
      <c r="Q50" s="2">
        <v>2</v>
      </c>
      <c r="R50" s="2">
        <v>65</v>
      </c>
      <c r="S50" s="2">
        <v>52</v>
      </c>
    </row>
    <row r="51" spans="1:19" x14ac:dyDescent="0.3">
      <c r="A51" s="68"/>
      <c r="B51" s="29">
        <v>46174</v>
      </c>
      <c r="C51" s="11">
        <v>20</v>
      </c>
      <c r="D51" s="23">
        <v>78</v>
      </c>
      <c r="E51" s="2">
        <v>0</v>
      </c>
      <c r="F51" s="2">
        <v>0</v>
      </c>
      <c r="G51" s="2">
        <v>0</v>
      </c>
      <c r="H51" s="2">
        <v>0</v>
      </c>
      <c r="I51" s="19">
        <v>0</v>
      </c>
      <c r="J51" s="8">
        <v>81</v>
      </c>
      <c r="K51" s="11">
        <v>7</v>
      </c>
      <c r="L51" s="2">
        <v>30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70</v>
      </c>
      <c r="S51" s="2">
        <v>21</v>
      </c>
    </row>
    <row r="52" spans="1:19" ht="15" thickBot="1" x14ac:dyDescent="0.35">
      <c r="A52" s="68"/>
      <c r="B52" s="29">
        <v>46204</v>
      </c>
      <c r="C52" s="17">
        <v>30</v>
      </c>
      <c r="D52" s="25">
        <v>33</v>
      </c>
      <c r="E52" s="15">
        <v>0</v>
      </c>
      <c r="F52" s="15">
        <v>0</v>
      </c>
      <c r="G52" s="15">
        <v>0</v>
      </c>
      <c r="H52" s="15">
        <v>12</v>
      </c>
      <c r="I52" s="21">
        <v>150</v>
      </c>
      <c r="J52" s="16">
        <v>85</v>
      </c>
      <c r="K52" s="17">
        <v>15</v>
      </c>
      <c r="L52" s="15">
        <v>45</v>
      </c>
      <c r="M52" s="15">
        <v>0</v>
      </c>
      <c r="N52" s="15">
        <v>0</v>
      </c>
      <c r="O52" s="15">
        <v>40</v>
      </c>
      <c r="P52" s="15">
        <v>0</v>
      </c>
      <c r="Q52" s="15">
        <v>1</v>
      </c>
      <c r="R52" s="15">
        <v>40</v>
      </c>
      <c r="S52" s="15">
        <v>22</v>
      </c>
    </row>
    <row r="53" spans="1:19" s="1" customFormat="1" ht="15" thickBot="1" x14ac:dyDescent="0.35">
      <c r="A53" s="68"/>
      <c r="B53" s="34" t="s">
        <v>0</v>
      </c>
      <c r="C53" s="57">
        <f t="shared" ref="C53:S53" si="4">+C44+C45+C46+C47+C48+C49+C50+C51+C52</f>
        <v>475</v>
      </c>
      <c r="D53" s="51">
        <f t="shared" si="4"/>
        <v>1521</v>
      </c>
      <c r="E53" s="51">
        <f t="shared" si="4"/>
        <v>7</v>
      </c>
      <c r="F53" s="51">
        <f t="shared" si="4"/>
        <v>25</v>
      </c>
      <c r="G53" s="51">
        <f t="shared" si="4"/>
        <v>800</v>
      </c>
      <c r="H53" s="51">
        <f t="shared" si="4"/>
        <v>133</v>
      </c>
      <c r="I53" s="51">
        <f t="shared" si="4"/>
        <v>2170</v>
      </c>
      <c r="J53" s="51">
        <f t="shared" si="4"/>
        <v>336</v>
      </c>
      <c r="K53" s="51">
        <f t="shared" si="4"/>
        <v>123</v>
      </c>
      <c r="L53" s="51">
        <f t="shared" si="4"/>
        <v>507</v>
      </c>
      <c r="M53" s="51">
        <f t="shared" si="4"/>
        <v>45</v>
      </c>
      <c r="N53" s="51">
        <f t="shared" si="4"/>
        <v>164</v>
      </c>
      <c r="O53" s="51">
        <f t="shared" si="4"/>
        <v>1550</v>
      </c>
      <c r="P53" s="51">
        <f t="shared" si="4"/>
        <v>1000</v>
      </c>
      <c r="Q53" s="51">
        <f t="shared" si="4"/>
        <v>8</v>
      </c>
      <c r="R53" s="51">
        <f t="shared" si="4"/>
        <v>850</v>
      </c>
      <c r="S53" s="51">
        <f t="shared" si="4"/>
        <v>189</v>
      </c>
    </row>
    <row r="54" spans="1:19" s="1" customFormat="1" ht="15" thickBot="1" x14ac:dyDescent="0.35">
      <c r="A54" s="72" t="s">
        <v>16</v>
      </c>
      <c r="B54" s="73"/>
      <c r="C54" s="52">
        <f t="shared" ref="C54:S54" si="5">+C53+C43+C33+C23+C13</f>
        <v>2633</v>
      </c>
      <c r="D54" s="52">
        <f t="shared" si="5"/>
        <v>6313</v>
      </c>
      <c r="E54" s="52">
        <f t="shared" si="5"/>
        <v>104</v>
      </c>
      <c r="F54" s="52">
        <f t="shared" si="5"/>
        <v>85</v>
      </c>
      <c r="G54" s="52">
        <f t="shared" si="5"/>
        <v>8145</v>
      </c>
      <c r="H54" s="52">
        <f t="shared" si="5"/>
        <v>612</v>
      </c>
      <c r="I54" s="52">
        <f t="shared" si="5"/>
        <v>10887</v>
      </c>
      <c r="J54" s="52">
        <f t="shared" si="5"/>
        <v>1618</v>
      </c>
      <c r="K54" s="52">
        <f t="shared" si="5"/>
        <v>625</v>
      </c>
      <c r="L54" s="52">
        <f t="shared" si="5"/>
        <v>1448</v>
      </c>
      <c r="M54" s="52">
        <f t="shared" si="5"/>
        <v>211</v>
      </c>
      <c r="N54" s="52">
        <f t="shared" si="5"/>
        <v>904</v>
      </c>
      <c r="O54" s="52">
        <f t="shared" si="5"/>
        <v>9738</v>
      </c>
      <c r="P54" s="52">
        <f t="shared" si="5"/>
        <v>5996</v>
      </c>
      <c r="Q54" s="52">
        <f t="shared" si="5"/>
        <v>134</v>
      </c>
      <c r="R54" s="52">
        <f t="shared" si="5"/>
        <v>3769</v>
      </c>
      <c r="S54" s="52">
        <f t="shared" si="5"/>
        <v>972</v>
      </c>
    </row>
  </sheetData>
  <mergeCells count="11">
    <mergeCell ref="A14:A23"/>
    <mergeCell ref="A4:A13"/>
    <mergeCell ref="A54:B54"/>
    <mergeCell ref="K2:S2"/>
    <mergeCell ref="A1:S1"/>
    <mergeCell ref="A2:A3"/>
    <mergeCell ref="B2:B3"/>
    <mergeCell ref="C2:J2"/>
    <mergeCell ref="A24:A33"/>
    <mergeCell ref="A34:A43"/>
    <mergeCell ref="A44:A53"/>
  </mergeCells>
  <printOptions horizontalCentered="1" verticalCentered="1"/>
  <pageMargins left="0" right="0" top="0" bottom="0" header="0" footer="0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0366C-FAC4-4AD0-96A6-FA3137F03C20}">
  <dimension ref="A1:Q54"/>
  <sheetViews>
    <sheetView zoomScaleNormal="100" zoomScaleSheetLayoutView="100" workbookViewId="0">
      <pane xSplit="2" ySplit="3" topLeftCell="C4" activePane="bottomRight" state="frozen"/>
      <selection pane="topRight" activeCell="D1" sqref="D1"/>
      <selection pane="bottomLeft" activeCell="A4" sqref="A4"/>
      <selection pane="bottomRight" activeCell="A2" sqref="A2:A3"/>
    </sheetView>
  </sheetViews>
  <sheetFormatPr defaultRowHeight="14.4" x14ac:dyDescent="0.3"/>
  <cols>
    <col min="1" max="1" width="23.44140625" customWidth="1"/>
    <col min="2" max="2" width="10.21875" customWidth="1"/>
    <col min="3" max="3" width="11.109375" customWidth="1"/>
    <col min="7" max="8" width="9" bestFit="1" customWidth="1"/>
    <col min="9" max="9" width="9" customWidth="1"/>
    <col min="10" max="10" width="13.5546875" customWidth="1"/>
    <col min="11" max="11" width="11.33203125" hidden="1" customWidth="1"/>
    <col min="12" max="12" width="13.77734375" customWidth="1"/>
    <col min="13" max="13" width="14.21875" customWidth="1"/>
    <col min="14" max="14" width="11.44140625" customWidth="1"/>
    <col min="15" max="15" width="14.6640625" customWidth="1"/>
    <col min="16" max="16" width="12.44140625" customWidth="1"/>
    <col min="17" max="17" width="12.6640625" customWidth="1"/>
  </cols>
  <sheetData>
    <row r="1" spans="1:17" ht="21.6" thickBot="1" x14ac:dyDescent="0.45">
      <c r="A1" s="76" t="s">
        <v>32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ht="21.6" thickBot="1" x14ac:dyDescent="0.45">
      <c r="A2" s="78" t="s">
        <v>10</v>
      </c>
      <c r="B2" s="88" t="s">
        <v>1</v>
      </c>
      <c r="C2" s="90" t="s">
        <v>34</v>
      </c>
      <c r="D2" s="91"/>
      <c r="E2" s="91"/>
      <c r="F2" s="91"/>
      <c r="G2" s="91"/>
      <c r="H2" s="92"/>
      <c r="I2" s="63"/>
      <c r="J2" s="93" t="s">
        <v>33</v>
      </c>
      <c r="K2" s="93"/>
      <c r="L2" s="93"/>
      <c r="M2" s="93"/>
      <c r="N2" s="93"/>
      <c r="O2" s="93"/>
      <c r="P2" s="93"/>
      <c r="Q2" s="93"/>
    </row>
    <row r="3" spans="1:17" ht="72.599999999999994" thickBot="1" x14ac:dyDescent="0.35">
      <c r="A3" s="79"/>
      <c r="B3" s="89"/>
      <c r="C3" s="4" t="s">
        <v>26</v>
      </c>
      <c r="D3" s="5" t="s">
        <v>27</v>
      </c>
      <c r="E3" s="5" t="s">
        <v>28</v>
      </c>
      <c r="F3" s="5" t="s">
        <v>29</v>
      </c>
      <c r="G3" s="5" t="s">
        <v>30</v>
      </c>
      <c r="H3" s="6" t="s">
        <v>31</v>
      </c>
      <c r="I3" s="9" t="s">
        <v>45</v>
      </c>
      <c r="J3" s="9" t="s">
        <v>46</v>
      </c>
      <c r="K3" s="5" t="s">
        <v>38</v>
      </c>
      <c r="L3" s="5" t="s">
        <v>39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</row>
    <row r="4" spans="1:17" x14ac:dyDescent="0.3">
      <c r="A4" s="70" t="s">
        <v>21</v>
      </c>
      <c r="B4" s="32">
        <v>45962</v>
      </c>
      <c r="C4" s="46">
        <v>180</v>
      </c>
      <c r="D4" s="22">
        <v>65</v>
      </c>
      <c r="E4" s="22">
        <v>8</v>
      </c>
      <c r="F4" s="22">
        <v>120</v>
      </c>
      <c r="G4" s="22">
        <v>80</v>
      </c>
      <c r="H4" s="43">
        <v>1000</v>
      </c>
      <c r="I4" s="61">
        <v>90</v>
      </c>
      <c r="J4" s="22">
        <v>32</v>
      </c>
      <c r="K4" s="22">
        <v>55</v>
      </c>
      <c r="L4" s="22">
        <v>3</v>
      </c>
      <c r="M4" s="22">
        <v>0</v>
      </c>
      <c r="N4" s="83">
        <v>2500</v>
      </c>
      <c r="O4" s="83">
        <v>2000</v>
      </c>
      <c r="P4" s="22">
        <v>5</v>
      </c>
      <c r="Q4" s="22">
        <v>20</v>
      </c>
    </row>
    <row r="5" spans="1:17" x14ac:dyDescent="0.3">
      <c r="A5" s="70"/>
      <c r="B5" s="32">
        <v>45992</v>
      </c>
      <c r="C5" s="35">
        <v>185</v>
      </c>
      <c r="D5" s="23">
        <v>180</v>
      </c>
      <c r="E5" s="23">
        <v>10</v>
      </c>
      <c r="F5" s="23">
        <v>140</v>
      </c>
      <c r="G5" s="23">
        <v>100</v>
      </c>
      <c r="H5" s="36">
        <v>1000</v>
      </c>
      <c r="I5" s="59">
        <v>110</v>
      </c>
      <c r="J5" s="23">
        <v>70</v>
      </c>
      <c r="K5" s="23">
        <v>20</v>
      </c>
      <c r="L5" s="23">
        <v>4</v>
      </c>
      <c r="M5" s="23">
        <f>18+27</f>
        <v>45</v>
      </c>
      <c r="N5" s="84"/>
      <c r="O5" s="84"/>
      <c r="P5" s="23">
        <v>15</v>
      </c>
      <c r="Q5" s="23">
        <v>13</v>
      </c>
    </row>
    <row r="6" spans="1:17" x14ac:dyDescent="0.3">
      <c r="A6" s="70"/>
      <c r="B6" s="32">
        <v>46023</v>
      </c>
      <c r="C6" s="35">
        <v>150</v>
      </c>
      <c r="D6" s="23">
        <v>419</v>
      </c>
      <c r="E6" s="23">
        <v>10</v>
      </c>
      <c r="F6" s="23">
        <v>120</v>
      </c>
      <c r="G6" s="23">
        <v>70</v>
      </c>
      <c r="H6" s="36">
        <v>1000</v>
      </c>
      <c r="I6" s="59">
        <v>240</v>
      </c>
      <c r="J6" s="23">
        <v>50</v>
      </c>
      <c r="K6" s="23">
        <v>50</v>
      </c>
      <c r="L6" s="23">
        <v>2</v>
      </c>
      <c r="M6" s="23">
        <v>0</v>
      </c>
      <c r="N6" s="84"/>
      <c r="O6" s="84"/>
      <c r="P6" s="23">
        <v>18</v>
      </c>
      <c r="Q6" s="23">
        <v>14</v>
      </c>
    </row>
    <row r="7" spans="1:17" x14ac:dyDescent="0.3">
      <c r="A7" s="70"/>
      <c r="B7" s="32">
        <v>46054</v>
      </c>
      <c r="C7" s="35">
        <v>80</v>
      </c>
      <c r="D7" s="23">
        <v>312</v>
      </c>
      <c r="E7" s="23">
        <v>10</v>
      </c>
      <c r="F7" s="23">
        <v>150</v>
      </c>
      <c r="G7" s="23">
        <v>75</v>
      </c>
      <c r="H7" s="36">
        <v>750</v>
      </c>
      <c r="I7" s="59">
        <v>150</v>
      </c>
      <c r="J7" s="23">
        <v>70</v>
      </c>
      <c r="K7" s="23">
        <v>70</v>
      </c>
      <c r="L7" s="23">
        <v>2</v>
      </c>
      <c r="M7" s="23">
        <v>53</v>
      </c>
      <c r="N7" s="84"/>
      <c r="O7" s="84"/>
      <c r="P7" s="23">
        <v>22</v>
      </c>
      <c r="Q7" s="23">
        <v>12</v>
      </c>
    </row>
    <row r="8" spans="1:17" x14ac:dyDescent="0.3">
      <c r="A8" s="70"/>
      <c r="B8" s="32">
        <v>46082</v>
      </c>
      <c r="C8" s="35">
        <v>70</v>
      </c>
      <c r="D8" s="23">
        <v>318</v>
      </c>
      <c r="E8" s="23">
        <v>7</v>
      </c>
      <c r="F8" s="23">
        <v>200</v>
      </c>
      <c r="G8" s="23">
        <v>80</v>
      </c>
      <c r="H8" s="36">
        <v>500</v>
      </c>
      <c r="I8" s="59">
        <v>350</v>
      </c>
      <c r="J8" s="23">
        <v>100</v>
      </c>
      <c r="K8" s="23">
        <v>80</v>
      </c>
      <c r="L8" s="23">
        <v>8</v>
      </c>
      <c r="M8" s="23">
        <v>70</v>
      </c>
      <c r="N8" s="84"/>
      <c r="O8" s="84"/>
      <c r="P8" s="23">
        <v>8</v>
      </c>
      <c r="Q8" s="23">
        <v>15</v>
      </c>
    </row>
    <row r="9" spans="1:17" x14ac:dyDescent="0.3">
      <c r="A9" s="70"/>
      <c r="B9" s="32">
        <v>46113</v>
      </c>
      <c r="C9" s="35">
        <v>55</v>
      </c>
      <c r="D9" s="23">
        <v>161</v>
      </c>
      <c r="E9" s="23">
        <v>5</v>
      </c>
      <c r="F9" s="23">
        <v>150</v>
      </c>
      <c r="G9" s="23">
        <v>80</v>
      </c>
      <c r="H9" s="36">
        <v>500</v>
      </c>
      <c r="I9" s="59">
        <v>220</v>
      </c>
      <c r="J9" s="23">
        <v>75</v>
      </c>
      <c r="K9" s="23">
        <v>110</v>
      </c>
      <c r="L9" s="23">
        <v>5</v>
      </c>
      <c r="M9" s="23">
        <v>33</v>
      </c>
      <c r="N9" s="84"/>
      <c r="O9" s="84"/>
      <c r="P9" s="23">
        <v>13</v>
      </c>
      <c r="Q9" s="23">
        <v>8</v>
      </c>
    </row>
    <row r="10" spans="1:17" x14ac:dyDescent="0.3">
      <c r="A10" s="70"/>
      <c r="B10" s="32">
        <v>46143</v>
      </c>
      <c r="C10" s="35">
        <v>60</v>
      </c>
      <c r="D10" s="23">
        <v>210</v>
      </c>
      <c r="E10" s="23">
        <v>4</v>
      </c>
      <c r="F10" s="23">
        <v>140</v>
      </c>
      <c r="G10" s="23">
        <v>60</v>
      </c>
      <c r="H10" s="36">
        <v>500</v>
      </c>
      <c r="I10" s="59">
        <v>80</v>
      </c>
      <c r="J10" s="23">
        <v>40</v>
      </c>
      <c r="K10" s="23">
        <v>110</v>
      </c>
      <c r="L10" s="23">
        <v>5</v>
      </c>
      <c r="M10" s="23">
        <v>40</v>
      </c>
      <c r="N10" s="84"/>
      <c r="O10" s="84"/>
      <c r="P10" s="23">
        <v>0</v>
      </c>
      <c r="Q10" s="23">
        <v>43</v>
      </c>
    </row>
    <row r="11" spans="1:17" x14ac:dyDescent="0.3">
      <c r="A11" s="70"/>
      <c r="B11" s="32">
        <v>46174</v>
      </c>
      <c r="C11" s="35">
        <v>86</v>
      </c>
      <c r="D11" s="23">
        <v>92</v>
      </c>
      <c r="E11" s="23">
        <v>4</v>
      </c>
      <c r="F11" s="23">
        <v>160</v>
      </c>
      <c r="G11" s="23">
        <v>60</v>
      </c>
      <c r="H11" s="36">
        <v>500</v>
      </c>
      <c r="I11" s="59">
        <v>90</v>
      </c>
      <c r="J11" s="23">
        <v>40</v>
      </c>
      <c r="K11" s="23">
        <v>120</v>
      </c>
      <c r="L11" s="23">
        <v>5</v>
      </c>
      <c r="M11" s="23">
        <v>0</v>
      </c>
      <c r="N11" s="84"/>
      <c r="O11" s="84"/>
      <c r="P11" s="23">
        <v>0</v>
      </c>
      <c r="Q11" s="23">
        <v>26</v>
      </c>
    </row>
    <row r="12" spans="1:17" ht="15" thickBot="1" x14ac:dyDescent="0.35">
      <c r="A12" s="70"/>
      <c r="B12" s="30">
        <v>46204</v>
      </c>
      <c r="C12" s="38">
        <v>39</v>
      </c>
      <c r="D12" s="24">
        <v>104</v>
      </c>
      <c r="E12" s="24">
        <v>2</v>
      </c>
      <c r="F12" s="24">
        <v>200</v>
      </c>
      <c r="G12" s="24">
        <v>70</v>
      </c>
      <c r="H12" s="39">
        <v>500</v>
      </c>
      <c r="I12" s="60">
        <v>120</v>
      </c>
      <c r="J12" s="23">
        <v>45</v>
      </c>
      <c r="K12" s="24">
        <v>120</v>
      </c>
      <c r="L12" s="24">
        <v>5</v>
      </c>
      <c r="M12" s="24">
        <v>0</v>
      </c>
      <c r="N12" s="85"/>
      <c r="O12" s="85"/>
      <c r="P12" s="24">
        <v>0</v>
      </c>
      <c r="Q12" s="24">
        <v>12</v>
      </c>
    </row>
    <row r="13" spans="1:17" s="1" customFormat="1" ht="15" thickBot="1" x14ac:dyDescent="0.35">
      <c r="A13" s="71"/>
      <c r="B13" s="42" t="s">
        <v>0</v>
      </c>
      <c r="C13" s="47">
        <f t="shared" ref="C13:Q13" si="0">+C4+C5+C6+C7+C8+C9+C10+C11+C12</f>
        <v>905</v>
      </c>
      <c r="D13" s="48">
        <f t="shared" si="0"/>
        <v>1861</v>
      </c>
      <c r="E13" s="48">
        <f t="shared" si="0"/>
        <v>60</v>
      </c>
      <c r="F13" s="48">
        <f t="shared" si="0"/>
        <v>1380</v>
      </c>
      <c r="G13" s="48">
        <f t="shared" si="0"/>
        <v>675</v>
      </c>
      <c r="H13" s="49">
        <f t="shared" si="0"/>
        <v>6250</v>
      </c>
      <c r="I13" s="67">
        <f t="shared" si="0"/>
        <v>1450</v>
      </c>
      <c r="J13" s="62">
        <f t="shared" si="0"/>
        <v>522</v>
      </c>
      <c r="K13" s="48">
        <f t="shared" si="0"/>
        <v>735</v>
      </c>
      <c r="L13" s="48">
        <f t="shared" si="0"/>
        <v>39</v>
      </c>
      <c r="M13" s="48">
        <f t="shared" si="0"/>
        <v>241</v>
      </c>
      <c r="N13" s="48">
        <f t="shared" si="0"/>
        <v>2500</v>
      </c>
      <c r="O13" s="48">
        <f t="shared" si="0"/>
        <v>2000</v>
      </c>
      <c r="P13" s="48">
        <f t="shared" si="0"/>
        <v>81</v>
      </c>
      <c r="Q13" s="48">
        <f t="shared" si="0"/>
        <v>163</v>
      </c>
    </row>
    <row r="14" spans="1:17" x14ac:dyDescent="0.3">
      <c r="A14" s="68" t="s">
        <v>22</v>
      </c>
      <c r="B14" s="32">
        <v>45962</v>
      </c>
      <c r="C14" s="35">
        <v>40</v>
      </c>
      <c r="D14" s="23">
        <v>14</v>
      </c>
      <c r="E14" s="23">
        <v>4</v>
      </c>
      <c r="F14" s="23">
        <v>0</v>
      </c>
      <c r="G14" s="23">
        <v>25</v>
      </c>
      <c r="H14" s="36">
        <f>529+630</f>
        <v>1159</v>
      </c>
      <c r="I14" s="37">
        <v>200</v>
      </c>
      <c r="J14" s="23">
        <v>80</v>
      </c>
      <c r="K14" s="23">
        <v>50</v>
      </c>
      <c r="L14" s="23">
        <v>10</v>
      </c>
      <c r="M14" s="23">
        <v>20</v>
      </c>
      <c r="N14" s="83">
        <v>3000</v>
      </c>
      <c r="O14" s="83">
        <v>2000</v>
      </c>
      <c r="P14" s="23">
        <v>2</v>
      </c>
      <c r="Q14" s="23">
        <v>31</v>
      </c>
    </row>
    <row r="15" spans="1:17" x14ac:dyDescent="0.3">
      <c r="A15" s="68"/>
      <c r="B15" s="32">
        <v>45992</v>
      </c>
      <c r="C15" s="35">
        <v>20</v>
      </c>
      <c r="D15" s="23">
        <v>52</v>
      </c>
      <c r="E15" s="23">
        <v>6</v>
      </c>
      <c r="F15" s="23">
        <v>0</v>
      </c>
      <c r="G15" s="23">
        <v>19</v>
      </c>
      <c r="H15" s="36">
        <f>459+370</f>
        <v>829</v>
      </c>
      <c r="I15" s="37">
        <v>160</v>
      </c>
      <c r="J15" s="23">
        <v>78</v>
      </c>
      <c r="K15" s="23">
        <v>20</v>
      </c>
      <c r="L15" s="23">
        <v>6</v>
      </c>
      <c r="M15" s="23">
        <v>13</v>
      </c>
      <c r="N15" s="84"/>
      <c r="O15" s="84"/>
      <c r="P15" s="23">
        <v>2</v>
      </c>
      <c r="Q15" s="23">
        <v>19</v>
      </c>
    </row>
    <row r="16" spans="1:17" x14ac:dyDescent="0.3">
      <c r="A16" s="68"/>
      <c r="B16" s="32">
        <v>46023</v>
      </c>
      <c r="C16" s="35">
        <v>22</v>
      </c>
      <c r="D16" s="23">
        <v>84</v>
      </c>
      <c r="E16" s="23">
        <v>7</v>
      </c>
      <c r="F16" s="23">
        <v>0</v>
      </c>
      <c r="G16" s="23">
        <v>0</v>
      </c>
      <c r="H16" s="36">
        <v>12</v>
      </c>
      <c r="I16" s="37">
        <v>140</v>
      </c>
      <c r="J16" s="23">
        <v>40</v>
      </c>
      <c r="K16" s="23">
        <v>11</v>
      </c>
      <c r="L16" s="23">
        <v>2</v>
      </c>
      <c r="M16" s="23">
        <v>10</v>
      </c>
      <c r="N16" s="84"/>
      <c r="O16" s="84"/>
      <c r="P16" s="23">
        <v>0</v>
      </c>
      <c r="Q16" s="23">
        <v>13</v>
      </c>
    </row>
    <row r="17" spans="1:17" x14ac:dyDescent="0.3">
      <c r="A17" s="68"/>
      <c r="B17" s="32">
        <v>46054</v>
      </c>
      <c r="C17" s="35">
        <v>24</v>
      </c>
      <c r="D17" s="23">
        <v>182</v>
      </c>
      <c r="E17" s="23">
        <v>3</v>
      </c>
      <c r="F17" s="23">
        <v>0</v>
      </c>
      <c r="G17" s="23">
        <v>13</v>
      </c>
      <c r="H17" s="36">
        <v>190</v>
      </c>
      <c r="I17" s="37">
        <v>150</v>
      </c>
      <c r="J17" s="23">
        <v>84</v>
      </c>
      <c r="K17" s="23">
        <v>12</v>
      </c>
      <c r="L17" s="23">
        <v>3</v>
      </c>
      <c r="M17" s="23">
        <v>20</v>
      </c>
      <c r="N17" s="84"/>
      <c r="O17" s="84"/>
      <c r="P17" s="23">
        <v>1</v>
      </c>
      <c r="Q17" s="23">
        <v>11</v>
      </c>
    </row>
    <row r="18" spans="1:17" x14ac:dyDescent="0.3">
      <c r="A18" s="68"/>
      <c r="B18" s="32">
        <v>46082</v>
      </c>
      <c r="C18" s="35">
        <v>104</v>
      </c>
      <c r="D18" s="23">
        <v>124</v>
      </c>
      <c r="E18" s="23">
        <v>1</v>
      </c>
      <c r="F18" s="23">
        <v>0</v>
      </c>
      <c r="G18" s="23">
        <v>3</v>
      </c>
      <c r="H18" s="36">
        <v>30</v>
      </c>
      <c r="I18" s="37">
        <v>150</v>
      </c>
      <c r="J18" s="23">
        <v>75</v>
      </c>
      <c r="K18" s="23">
        <v>82</v>
      </c>
      <c r="L18" s="23">
        <v>14</v>
      </c>
      <c r="M18" s="23">
        <v>16</v>
      </c>
      <c r="N18" s="84"/>
      <c r="O18" s="84"/>
      <c r="P18" s="23">
        <v>2</v>
      </c>
      <c r="Q18" s="23">
        <v>9</v>
      </c>
    </row>
    <row r="19" spans="1:17" x14ac:dyDescent="0.3">
      <c r="A19" s="68"/>
      <c r="B19" s="32">
        <v>46113</v>
      </c>
      <c r="C19" s="35">
        <v>110</v>
      </c>
      <c r="D19" s="23">
        <v>160</v>
      </c>
      <c r="E19" s="23">
        <v>1</v>
      </c>
      <c r="F19" s="23">
        <v>0</v>
      </c>
      <c r="G19" s="23">
        <v>0</v>
      </c>
      <c r="H19" s="36">
        <v>5</v>
      </c>
      <c r="I19" s="37">
        <v>80</v>
      </c>
      <c r="J19" s="23">
        <v>45</v>
      </c>
      <c r="K19" s="23">
        <v>40</v>
      </c>
      <c r="L19" s="23">
        <v>4</v>
      </c>
      <c r="M19" s="23">
        <v>12</v>
      </c>
      <c r="N19" s="84"/>
      <c r="O19" s="84"/>
      <c r="P19" s="23">
        <v>3</v>
      </c>
      <c r="Q19" s="23">
        <v>15</v>
      </c>
    </row>
    <row r="20" spans="1:17" x14ac:dyDescent="0.3">
      <c r="A20" s="68"/>
      <c r="B20" s="32">
        <v>46143</v>
      </c>
      <c r="C20" s="35">
        <v>40</v>
      </c>
      <c r="D20" s="23">
        <v>44</v>
      </c>
      <c r="E20" s="23">
        <v>5</v>
      </c>
      <c r="F20" s="23">
        <v>0</v>
      </c>
      <c r="G20" s="23">
        <v>0</v>
      </c>
      <c r="H20" s="36">
        <v>35</v>
      </c>
      <c r="I20" s="37">
        <v>120</v>
      </c>
      <c r="J20" s="23">
        <v>90</v>
      </c>
      <c r="K20" s="23">
        <v>22</v>
      </c>
      <c r="L20" s="23">
        <v>2</v>
      </c>
      <c r="M20" s="23">
        <v>10</v>
      </c>
      <c r="N20" s="84"/>
      <c r="O20" s="84"/>
      <c r="P20" s="23">
        <v>0</v>
      </c>
      <c r="Q20" s="23">
        <v>65</v>
      </c>
    </row>
    <row r="21" spans="1:17" x14ac:dyDescent="0.3">
      <c r="A21" s="68"/>
      <c r="B21" s="32">
        <v>46174</v>
      </c>
      <c r="C21" s="35">
        <v>20</v>
      </c>
      <c r="D21" s="23">
        <v>90</v>
      </c>
      <c r="E21" s="23">
        <v>8</v>
      </c>
      <c r="F21" s="23">
        <v>0</v>
      </c>
      <c r="G21" s="23">
        <v>0</v>
      </c>
      <c r="H21" s="36">
        <v>0</v>
      </c>
      <c r="I21" s="37">
        <v>140</v>
      </c>
      <c r="J21" s="23">
        <v>75</v>
      </c>
      <c r="K21" s="23">
        <v>55</v>
      </c>
      <c r="L21" s="23">
        <v>0</v>
      </c>
      <c r="M21" s="23">
        <v>20</v>
      </c>
      <c r="N21" s="84"/>
      <c r="O21" s="84"/>
      <c r="P21" s="23">
        <v>0</v>
      </c>
      <c r="Q21" s="23">
        <v>25</v>
      </c>
    </row>
    <row r="22" spans="1:17" ht="15" thickBot="1" x14ac:dyDescent="0.35">
      <c r="A22" s="68"/>
      <c r="B22" s="30">
        <v>46204</v>
      </c>
      <c r="C22" s="38">
        <v>18</v>
      </c>
      <c r="D22" s="24">
        <v>46</v>
      </c>
      <c r="E22" s="24">
        <v>2</v>
      </c>
      <c r="F22" s="26">
        <v>0</v>
      </c>
      <c r="G22" s="24">
        <v>0</v>
      </c>
      <c r="H22" s="39">
        <v>0</v>
      </c>
      <c r="I22" s="37">
        <v>150</v>
      </c>
      <c r="J22" s="23">
        <v>75</v>
      </c>
      <c r="K22" s="24">
        <v>24</v>
      </c>
      <c r="L22" s="24">
        <v>4</v>
      </c>
      <c r="M22" s="24">
        <v>6</v>
      </c>
      <c r="N22" s="85"/>
      <c r="O22" s="85"/>
      <c r="P22" s="24">
        <v>0</v>
      </c>
      <c r="Q22" s="24">
        <v>35</v>
      </c>
    </row>
    <row r="23" spans="1:17" s="1" customFormat="1" ht="15" thickBot="1" x14ac:dyDescent="0.35">
      <c r="A23" s="69"/>
      <c r="B23" s="42" t="s">
        <v>0</v>
      </c>
      <c r="C23" s="47">
        <f t="shared" ref="C23:H23" si="1">+C14+C15+C16+C17+C18+C19+C20+C21+C22</f>
        <v>398</v>
      </c>
      <c r="D23" s="48">
        <f t="shared" si="1"/>
        <v>796</v>
      </c>
      <c r="E23" s="48">
        <f t="shared" si="1"/>
        <v>37</v>
      </c>
      <c r="F23" s="48">
        <f t="shared" si="1"/>
        <v>0</v>
      </c>
      <c r="G23" s="48">
        <f t="shared" si="1"/>
        <v>60</v>
      </c>
      <c r="H23" s="49">
        <f t="shared" si="1"/>
        <v>2260</v>
      </c>
      <c r="I23" s="50">
        <f t="shared" ref="I23:J23" si="2">+I14+I15+I16+I17+I18+I19+I20+I21+I22</f>
        <v>1290</v>
      </c>
      <c r="J23" s="48">
        <f t="shared" si="2"/>
        <v>642</v>
      </c>
      <c r="K23" s="48">
        <f t="shared" ref="K23:Q23" si="3">+K14+K15+K16+K17+K18+K19+K20+K21+K22</f>
        <v>316</v>
      </c>
      <c r="L23" s="48">
        <f t="shared" si="3"/>
        <v>45</v>
      </c>
      <c r="M23" s="48">
        <f t="shared" si="3"/>
        <v>127</v>
      </c>
      <c r="N23" s="48">
        <f t="shared" si="3"/>
        <v>3000</v>
      </c>
      <c r="O23" s="48">
        <f t="shared" si="3"/>
        <v>2000</v>
      </c>
      <c r="P23" s="48">
        <f t="shared" si="3"/>
        <v>10</v>
      </c>
      <c r="Q23" s="48">
        <f t="shared" si="3"/>
        <v>223</v>
      </c>
    </row>
    <row r="24" spans="1:17" x14ac:dyDescent="0.3">
      <c r="A24" s="68" t="s">
        <v>23</v>
      </c>
      <c r="B24" s="32">
        <v>45962</v>
      </c>
      <c r="C24" s="35">
        <v>48</v>
      </c>
      <c r="D24" s="23">
        <v>12</v>
      </c>
      <c r="E24" s="23">
        <v>2</v>
      </c>
      <c r="F24" s="23">
        <v>0</v>
      </c>
      <c r="G24" s="23">
        <v>0</v>
      </c>
      <c r="H24" s="36">
        <v>0</v>
      </c>
      <c r="I24" s="59">
        <v>90</v>
      </c>
      <c r="J24" s="23">
        <v>30</v>
      </c>
      <c r="K24" s="23">
        <v>80</v>
      </c>
      <c r="L24" s="23">
        <v>0</v>
      </c>
      <c r="M24" s="23">
        <v>27</v>
      </c>
      <c r="N24" s="83">
        <v>2500</v>
      </c>
      <c r="O24" s="83">
        <v>2000</v>
      </c>
      <c r="P24" s="23">
        <v>0</v>
      </c>
      <c r="Q24" s="23">
        <v>35</v>
      </c>
    </row>
    <row r="25" spans="1:17" x14ac:dyDescent="0.3">
      <c r="A25" s="68"/>
      <c r="B25" s="32">
        <v>45992</v>
      </c>
      <c r="C25" s="35">
        <v>28</v>
      </c>
      <c r="D25" s="23">
        <v>38</v>
      </c>
      <c r="E25" s="23">
        <v>1</v>
      </c>
      <c r="F25" s="23">
        <v>0</v>
      </c>
      <c r="G25" s="23">
        <v>0</v>
      </c>
      <c r="H25" s="36">
        <v>0</v>
      </c>
      <c r="I25" s="59">
        <v>150</v>
      </c>
      <c r="J25" s="23">
        <v>70</v>
      </c>
      <c r="K25" s="23">
        <v>65</v>
      </c>
      <c r="L25" s="23">
        <v>0</v>
      </c>
      <c r="M25" s="23">
        <v>0</v>
      </c>
      <c r="N25" s="84"/>
      <c r="O25" s="84"/>
      <c r="P25" s="23">
        <v>0</v>
      </c>
      <c r="Q25" s="23">
        <v>14</v>
      </c>
    </row>
    <row r="26" spans="1:17" x14ac:dyDescent="0.3">
      <c r="A26" s="68"/>
      <c r="B26" s="32">
        <v>46023</v>
      </c>
      <c r="C26" s="35">
        <v>30</v>
      </c>
      <c r="D26" s="23">
        <v>40</v>
      </c>
      <c r="E26" s="23">
        <v>1</v>
      </c>
      <c r="F26" s="23">
        <v>0</v>
      </c>
      <c r="G26" s="23">
        <v>0</v>
      </c>
      <c r="H26" s="36">
        <v>0</v>
      </c>
      <c r="I26" s="59">
        <v>200</v>
      </c>
      <c r="J26" s="23">
        <v>80</v>
      </c>
      <c r="K26" s="23">
        <v>115</v>
      </c>
      <c r="L26" s="23">
        <v>5</v>
      </c>
      <c r="M26" s="23">
        <v>0</v>
      </c>
      <c r="N26" s="84"/>
      <c r="O26" s="84"/>
      <c r="P26" s="23">
        <v>2</v>
      </c>
      <c r="Q26" s="23">
        <v>16</v>
      </c>
    </row>
    <row r="27" spans="1:17" x14ac:dyDescent="0.3">
      <c r="A27" s="68"/>
      <c r="B27" s="32">
        <v>46054</v>
      </c>
      <c r="C27" s="35">
        <v>32</v>
      </c>
      <c r="D27" s="23">
        <v>79</v>
      </c>
      <c r="E27" s="23">
        <v>1</v>
      </c>
      <c r="F27" s="23">
        <v>25</v>
      </c>
      <c r="G27" s="23">
        <v>0</v>
      </c>
      <c r="H27" s="36">
        <v>0</v>
      </c>
      <c r="I27" s="59">
        <v>150</v>
      </c>
      <c r="J27" s="23">
        <v>60</v>
      </c>
      <c r="K27" s="23">
        <v>120</v>
      </c>
      <c r="L27" s="23">
        <v>0</v>
      </c>
      <c r="M27" s="23">
        <v>0</v>
      </c>
      <c r="N27" s="84"/>
      <c r="O27" s="84"/>
      <c r="P27" s="23">
        <v>4</v>
      </c>
      <c r="Q27" s="23">
        <v>11</v>
      </c>
    </row>
    <row r="28" spans="1:17" x14ac:dyDescent="0.3">
      <c r="A28" s="68"/>
      <c r="B28" s="32">
        <v>46082</v>
      </c>
      <c r="C28" s="35">
        <v>102</v>
      </c>
      <c r="D28" s="23">
        <v>38</v>
      </c>
      <c r="E28" s="23">
        <v>4</v>
      </c>
      <c r="F28" s="23">
        <v>0</v>
      </c>
      <c r="G28" s="23">
        <v>10</v>
      </c>
      <c r="H28" s="36">
        <v>0</v>
      </c>
      <c r="I28" s="59">
        <v>120</v>
      </c>
      <c r="J28" s="23">
        <v>50</v>
      </c>
      <c r="K28" s="23">
        <v>20</v>
      </c>
      <c r="L28" s="23">
        <v>0</v>
      </c>
      <c r="M28" s="23">
        <v>1</v>
      </c>
      <c r="N28" s="84"/>
      <c r="O28" s="84"/>
      <c r="P28" s="23">
        <v>1</v>
      </c>
      <c r="Q28" s="23">
        <v>8</v>
      </c>
    </row>
    <row r="29" spans="1:17" x14ac:dyDescent="0.3">
      <c r="A29" s="68"/>
      <c r="B29" s="32">
        <v>46113</v>
      </c>
      <c r="C29" s="46">
        <v>119</v>
      </c>
      <c r="D29" s="23">
        <v>28</v>
      </c>
      <c r="E29" s="23">
        <v>8</v>
      </c>
      <c r="F29" s="23">
        <v>0</v>
      </c>
      <c r="G29" s="23">
        <v>0</v>
      </c>
      <c r="H29" s="36">
        <v>0</v>
      </c>
      <c r="I29" s="59">
        <v>140</v>
      </c>
      <c r="J29" s="23">
        <v>35</v>
      </c>
      <c r="K29" s="23">
        <v>50</v>
      </c>
      <c r="L29" s="23">
        <v>0</v>
      </c>
      <c r="M29" s="23">
        <v>16</v>
      </c>
      <c r="N29" s="84"/>
      <c r="O29" s="84"/>
      <c r="P29" s="23">
        <v>5</v>
      </c>
      <c r="Q29" s="23">
        <v>8</v>
      </c>
    </row>
    <row r="30" spans="1:17" x14ac:dyDescent="0.3">
      <c r="A30" s="68"/>
      <c r="B30" s="32">
        <v>46143</v>
      </c>
      <c r="C30" s="35">
        <v>48</v>
      </c>
      <c r="D30" s="23">
        <v>68</v>
      </c>
      <c r="E30" s="23">
        <v>2</v>
      </c>
      <c r="F30" s="23">
        <v>0</v>
      </c>
      <c r="G30" s="23">
        <v>30</v>
      </c>
      <c r="H30" s="36">
        <v>0</v>
      </c>
      <c r="I30" s="59">
        <v>180</v>
      </c>
      <c r="J30" s="23">
        <v>40</v>
      </c>
      <c r="K30" s="23">
        <v>90</v>
      </c>
      <c r="L30" s="23">
        <v>6</v>
      </c>
      <c r="M30" s="23">
        <v>3</v>
      </c>
      <c r="N30" s="84"/>
      <c r="O30" s="84"/>
      <c r="P30" s="23">
        <v>0</v>
      </c>
      <c r="Q30" s="23">
        <v>55</v>
      </c>
    </row>
    <row r="31" spans="1:17" x14ac:dyDescent="0.3">
      <c r="A31" s="68"/>
      <c r="B31" s="32">
        <v>46174</v>
      </c>
      <c r="C31" s="35">
        <v>26</v>
      </c>
      <c r="D31" s="23">
        <v>15</v>
      </c>
      <c r="E31" s="23">
        <v>2</v>
      </c>
      <c r="F31" s="23">
        <v>0</v>
      </c>
      <c r="G31" s="23">
        <v>0</v>
      </c>
      <c r="H31" s="36">
        <v>0</v>
      </c>
      <c r="I31" s="59">
        <v>40</v>
      </c>
      <c r="J31" s="23">
        <v>15</v>
      </c>
      <c r="K31" s="23">
        <v>45</v>
      </c>
      <c r="L31" s="23">
        <v>0</v>
      </c>
      <c r="M31" s="23">
        <v>0</v>
      </c>
      <c r="N31" s="84"/>
      <c r="O31" s="84"/>
      <c r="P31" s="23">
        <v>0</v>
      </c>
      <c r="Q31" s="23">
        <v>22</v>
      </c>
    </row>
    <row r="32" spans="1:17" ht="15" thickBot="1" x14ac:dyDescent="0.35">
      <c r="A32" s="68"/>
      <c r="B32" s="30">
        <v>46204</v>
      </c>
      <c r="C32" s="38">
        <v>28</v>
      </c>
      <c r="D32" s="24">
        <v>22</v>
      </c>
      <c r="E32" s="24">
        <v>0</v>
      </c>
      <c r="F32" s="24">
        <v>0</v>
      </c>
      <c r="G32" s="24">
        <v>0</v>
      </c>
      <c r="H32" s="39">
        <v>0</v>
      </c>
      <c r="I32" s="60">
        <v>110</v>
      </c>
      <c r="J32" s="24">
        <v>26</v>
      </c>
      <c r="K32" s="24">
        <v>30</v>
      </c>
      <c r="L32" s="24">
        <v>0</v>
      </c>
      <c r="M32" s="24">
        <v>0</v>
      </c>
      <c r="N32" s="85"/>
      <c r="O32" s="85"/>
      <c r="P32" s="24">
        <v>1</v>
      </c>
      <c r="Q32" s="24">
        <v>18</v>
      </c>
    </row>
    <row r="33" spans="1:17" s="1" customFormat="1" ht="15" thickBot="1" x14ac:dyDescent="0.35">
      <c r="A33" s="69"/>
      <c r="B33" s="42" t="s">
        <v>0</v>
      </c>
      <c r="C33" s="47">
        <f t="shared" ref="C33:Q33" si="4">+C24+C25+C26+C27+C28+C29+C30+C31+C32</f>
        <v>461</v>
      </c>
      <c r="D33" s="48">
        <f t="shared" si="4"/>
        <v>340</v>
      </c>
      <c r="E33" s="48">
        <f t="shared" si="4"/>
        <v>21</v>
      </c>
      <c r="F33" s="48">
        <f t="shared" si="4"/>
        <v>25</v>
      </c>
      <c r="G33" s="48">
        <f t="shared" si="4"/>
        <v>40</v>
      </c>
      <c r="H33" s="49">
        <f t="shared" si="4"/>
        <v>0</v>
      </c>
      <c r="I33" s="50">
        <f t="shared" si="4"/>
        <v>1180</v>
      </c>
      <c r="J33" s="48">
        <f t="shared" si="4"/>
        <v>406</v>
      </c>
      <c r="K33" s="48">
        <f t="shared" si="4"/>
        <v>615</v>
      </c>
      <c r="L33" s="48">
        <f t="shared" si="4"/>
        <v>11</v>
      </c>
      <c r="M33" s="48">
        <f t="shared" si="4"/>
        <v>47</v>
      </c>
      <c r="N33" s="48">
        <f t="shared" si="4"/>
        <v>2500</v>
      </c>
      <c r="O33" s="48">
        <f t="shared" si="4"/>
        <v>2000</v>
      </c>
      <c r="P33" s="48">
        <f t="shared" si="4"/>
        <v>13</v>
      </c>
      <c r="Q33" s="48">
        <f t="shared" si="4"/>
        <v>187</v>
      </c>
    </row>
    <row r="34" spans="1:17" ht="15" thickBot="1" x14ac:dyDescent="0.35">
      <c r="A34" s="68" t="s">
        <v>24</v>
      </c>
      <c r="B34" s="33">
        <v>45962</v>
      </c>
      <c r="C34" s="64">
        <v>30</v>
      </c>
      <c r="D34" s="24">
        <v>140</v>
      </c>
      <c r="E34" s="24">
        <v>4</v>
      </c>
      <c r="F34" s="24">
        <v>0</v>
      </c>
      <c r="G34" s="24">
        <v>0</v>
      </c>
      <c r="H34" s="39">
        <v>220</v>
      </c>
      <c r="I34" s="65">
        <v>135</v>
      </c>
      <c r="J34" s="26">
        <v>40</v>
      </c>
      <c r="K34" s="66">
        <v>70</v>
      </c>
      <c r="L34" s="26">
        <v>3</v>
      </c>
      <c r="M34" s="26">
        <v>0</v>
      </c>
      <c r="N34" s="83">
        <v>2000</v>
      </c>
      <c r="O34" s="83">
        <v>2000</v>
      </c>
      <c r="P34" s="26">
        <v>0</v>
      </c>
      <c r="Q34" s="26">
        <v>19</v>
      </c>
    </row>
    <row r="35" spans="1:17" x14ac:dyDescent="0.3">
      <c r="A35" s="68"/>
      <c r="B35" s="32">
        <v>45992</v>
      </c>
      <c r="C35" s="41">
        <v>45</v>
      </c>
      <c r="D35" s="23">
        <v>90</v>
      </c>
      <c r="E35" s="23">
        <v>9</v>
      </c>
      <c r="F35" s="23">
        <v>0</v>
      </c>
      <c r="G35" s="23">
        <v>30</v>
      </c>
      <c r="H35" s="36">
        <f>136+780+358</f>
        <v>1274</v>
      </c>
      <c r="I35" s="37">
        <v>200</v>
      </c>
      <c r="J35" s="23">
        <v>70</v>
      </c>
      <c r="K35" s="23">
        <v>60</v>
      </c>
      <c r="L35" s="23">
        <v>27</v>
      </c>
      <c r="M35" s="23">
        <f>25+49</f>
        <v>74</v>
      </c>
      <c r="N35" s="84"/>
      <c r="O35" s="84"/>
      <c r="P35" s="23">
        <v>5</v>
      </c>
      <c r="Q35" s="23">
        <v>9</v>
      </c>
    </row>
    <row r="36" spans="1:17" x14ac:dyDescent="0.3">
      <c r="A36" s="68"/>
      <c r="B36" s="32">
        <v>46023</v>
      </c>
      <c r="C36" s="41">
        <v>62</v>
      </c>
      <c r="D36" s="23">
        <v>116</v>
      </c>
      <c r="E36" s="23">
        <v>14</v>
      </c>
      <c r="F36" s="23">
        <v>0</v>
      </c>
      <c r="G36" s="23">
        <v>0</v>
      </c>
      <c r="H36" s="36">
        <v>0</v>
      </c>
      <c r="I36" s="37">
        <v>190</v>
      </c>
      <c r="J36" s="23">
        <v>40</v>
      </c>
      <c r="K36" s="23">
        <v>135</v>
      </c>
      <c r="L36" s="23">
        <v>2</v>
      </c>
      <c r="M36" s="23">
        <v>0</v>
      </c>
      <c r="N36" s="84"/>
      <c r="O36" s="84"/>
      <c r="P36" s="23">
        <v>2</v>
      </c>
      <c r="Q36" s="23">
        <v>10</v>
      </c>
    </row>
    <row r="37" spans="1:17" x14ac:dyDescent="0.3">
      <c r="A37" s="68"/>
      <c r="B37" s="32">
        <v>46054</v>
      </c>
      <c r="C37" s="41">
        <v>43</v>
      </c>
      <c r="D37" s="23">
        <v>166</v>
      </c>
      <c r="E37" s="23">
        <v>5</v>
      </c>
      <c r="F37" s="23">
        <v>25</v>
      </c>
      <c r="G37" s="23">
        <v>0</v>
      </c>
      <c r="H37" s="36">
        <f>264+70</f>
        <v>334</v>
      </c>
      <c r="I37" s="59">
        <v>180</v>
      </c>
      <c r="J37" s="23">
        <v>55</v>
      </c>
      <c r="K37" s="23">
        <v>180</v>
      </c>
      <c r="L37" s="23">
        <v>18</v>
      </c>
      <c r="M37" s="23">
        <v>0</v>
      </c>
      <c r="N37" s="84"/>
      <c r="O37" s="84"/>
      <c r="P37" s="23">
        <v>2</v>
      </c>
      <c r="Q37" s="23">
        <v>8</v>
      </c>
    </row>
    <row r="38" spans="1:17" x14ac:dyDescent="0.3">
      <c r="A38" s="68"/>
      <c r="B38" s="32">
        <v>46082</v>
      </c>
      <c r="C38" s="41">
        <v>55</v>
      </c>
      <c r="D38" s="23">
        <f>374-67</f>
        <v>307</v>
      </c>
      <c r="E38" s="23">
        <v>8</v>
      </c>
      <c r="F38" s="23">
        <v>0</v>
      </c>
      <c r="G38" s="23">
        <v>220</v>
      </c>
      <c r="H38" s="36">
        <f>450+72</f>
        <v>522</v>
      </c>
      <c r="I38" s="59">
        <v>180</v>
      </c>
      <c r="J38" s="23">
        <v>55</v>
      </c>
      <c r="K38" s="23">
        <v>140</v>
      </c>
      <c r="L38" s="23">
        <v>10</v>
      </c>
      <c r="M38" s="23">
        <v>11</v>
      </c>
      <c r="N38" s="84"/>
      <c r="O38" s="84"/>
      <c r="P38" s="23">
        <v>7</v>
      </c>
      <c r="Q38" s="23">
        <v>9</v>
      </c>
    </row>
    <row r="39" spans="1:17" x14ac:dyDescent="0.3">
      <c r="A39" s="68"/>
      <c r="B39" s="32">
        <v>46113</v>
      </c>
      <c r="C39" s="35">
        <v>60</v>
      </c>
      <c r="D39" s="23">
        <v>312</v>
      </c>
      <c r="E39" s="23">
        <v>10</v>
      </c>
      <c r="F39" s="23">
        <v>0</v>
      </c>
      <c r="G39" s="23">
        <v>100</v>
      </c>
      <c r="H39" s="36">
        <v>630</v>
      </c>
      <c r="I39" s="59">
        <v>160</v>
      </c>
      <c r="J39" s="23">
        <v>80</v>
      </c>
      <c r="K39" s="23">
        <v>85</v>
      </c>
      <c r="L39" s="23">
        <v>41</v>
      </c>
      <c r="M39" s="23">
        <v>180</v>
      </c>
      <c r="N39" s="84"/>
      <c r="O39" s="84"/>
      <c r="P39" s="23">
        <v>1</v>
      </c>
      <c r="Q39" s="23">
        <v>30</v>
      </c>
    </row>
    <row r="40" spans="1:17" x14ac:dyDescent="0.3">
      <c r="A40" s="68"/>
      <c r="B40" s="32">
        <v>46143</v>
      </c>
      <c r="C40" s="35">
        <v>82</v>
      </c>
      <c r="D40" s="23">
        <v>435</v>
      </c>
      <c r="E40" s="23">
        <v>15</v>
      </c>
      <c r="F40" s="23">
        <v>0</v>
      </c>
      <c r="G40" s="23">
        <v>0</v>
      </c>
      <c r="H40" s="36">
        <v>504</v>
      </c>
      <c r="I40" s="59">
        <v>150</v>
      </c>
      <c r="J40" s="23">
        <v>50</v>
      </c>
      <c r="K40" s="23">
        <v>45</v>
      </c>
      <c r="L40" s="23">
        <v>6</v>
      </c>
      <c r="M40" s="23">
        <v>60</v>
      </c>
      <c r="N40" s="84"/>
      <c r="O40" s="84"/>
      <c r="P40" s="23">
        <v>5</v>
      </c>
      <c r="Q40" s="23">
        <v>83</v>
      </c>
    </row>
    <row r="41" spans="1:17" x14ac:dyDescent="0.3">
      <c r="A41" s="68"/>
      <c r="B41" s="32">
        <v>46174</v>
      </c>
      <c r="C41" s="35">
        <v>87</v>
      </c>
      <c r="D41" s="23">
        <v>134</v>
      </c>
      <c r="E41" s="23">
        <v>7</v>
      </c>
      <c r="F41" s="23">
        <v>0</v>
      </c>
      <c r="G41" s="23">
        <v>0</v>
      </c>
      <c r="H41" s="36">
        <v>0</v>
      </c>
      <c r="I41" s="59">
        <v>140</v>
      </c>
      <c r="J41" s="23">
        <v>30</v>
      </c>
      <c r="K41" s="23">
        <v>25</v>
      </c>
      <c r="L41" s="23">
        <v>0</v>
      </c>
      <c r="M41" s="23">
        <v>0</v>
      </c>
      <c r="N41" s="84"/>
      <c r="O41" s="84"/>
      <c r="P41" s="23">
        <v>0</v>
      </c>
      <c r="Q41" s="23">
        <v>25</v>
      </c>
    </row>
    <row r="42" spans="1:17" ht="15" thickBot="1" x14ac:dyDescent="0.35">
      <c r="A42" s="68"/>
      <c r="B42" s="30">
        <v>46204</v>
      </c>
      <c r="C42" s="38">
        <v>110</v>
      </c>
      <c r="D42" s="24">
        <v>95</v>
      </c>
      <c r="E42" s="24">
        <v>2</v>
      </c>
      <c r="F42" s="24">
        <v>0</v>
      </c>
      <c r="G42" s="24">
        <v>0</v>
      </c>
      <c r="H42" s="39">
        <v>0</v>
      </c>
      <c r="I42" s="60">
        <v>140</v>
      </c>
      <c r="J42" s="24">
        <v>30</v>
      </c>
      <c r="K42" s="24">
        <v>40</v>
      </c>
      <c r="L42" s="24">
        <v>0</v>
      </c>
      <c r="M42" s="24">
        <v>0</v>
      </c>
      <c r="N42" s="85"/>
      <c r="O42" s="85"/>
      <c r="P42" s="24">
        <v>0</v>
      </c>
      <c r="Q42" s="24">
        <v>17</v>
      </c>
    </row>
    <row r="43" spans="1:17" s="1" customFormat="1" ht="15" thickBot="1" x14ac:dyDescent="0.35">
      <c r="A43" s="69"/>
      <c r="B43" s="42" t="s">
        <v>0</v>
      </c>
      <c r="C43" s="47">
        <f t="shared" ref="C43:Q43" si="5">+C34+C35+C36+C37+C38+C39+C40+C41+C42</f>
        <v>574</v>
      </c>
      <c r="D43" s="48">
        <f t="shared" si="5"/>
        <v>1795</v>
      </c>
      <c r="E43" s="48">
        <f t="shared" si="5"/>
        <v>74</v>
      </c>
      <c r="F43" s="48">
        <f t="shared" si="5"/>
        <v>25</v>
      </c>
      <c r="G43" s="48">
        <f t="shared" si="5"/>
        <v>350</v>
      </c>
      <c r="H43" s="49">
        <f t="shared" si="5"/>
        <v>3484</v>
      </c>
      <c r="I43" s="50">
        <f t="shared" si="5"/>
        <v>1475</v>
      </c>
      <c r="J43" s="48">
        <f t="shared" si="5"/>
        <v>450</v>
      </c>
      <c r="K43" s="48">
        <f t="shared" si="5"/>
        <v>780</v>
      </c>
      <c r="L43" s="48">
        <f t="shared" si="5"/>
        <v>107</v>
      </c>
      <c r="M43" s="48">
        <f t="shared" si="5"/>
        <v>325</v>
      </c>
      <c r="N43" s="48">
        <f t="shared" si="5"/>
        <v>2000</v>
      </c>
      <c r="O43" s="48">
        <f t="shared" si="5"/>
        <v>2000</v>
      </c>
      <c r="P43" s="48">
        <f t="shared" si="5"/>
        <v>22</v>
      </c>
      <c r="Q43" s="48">
        <f t="shared" si="5"/>
        <v>210</v>
      </c>
    </row>
    <row r="44" spans="1:17" x14ac:dyDescent="0.3">
      <c r="A44" s="68" t="s">
        <v>25</v>
      </c>
      <c r="B44" s="32">
        <v>45962</v>
      </c>
      <c r="C44" s="46">
        <v>30</v>
      </c>
      <c r="D44" s="22">
        <v>160</v>
      </c>
      <c r="E44" s="22">
        <v>2</v>
      </c>
      <c r="F44" s="22">
        <v>0</v>
      </c>
      <c r="G44" s="22">
        <v>87</v>
      </c>
      <c r="H44" s="43">
        <f>540+250+165</f>
        <v>955</v>
      </c>
      <c r="I44" s="44">
        <v>240</v>
      </c>
      <c r="J44" s="22">
        <v>90</v>
      </c>
      <c r="K44" s="22">
        <v>40</v>
      </c>
      <c r="L44" s="22">
        <v>5</v>
      </c>
      <c r="M44" s="22">
        <f>27+34</f>
        <v>61</v>
      </c>
      <c r="N44" s="83">
        <v>2000</v>
      </c>
      <c r="O44" s="83">
        <v>2000</v>
      </c>
      <c r="P44" s="22">
        <v>0</v>
      </c>
      <c r="Q44" s="22">
        <v>27</v>
      </c>
    </row>
    <row r="45" spans="1:17" x14ac:dyDescent="0.3">
      <c r="A45" s="68"/>
      <c r="B45" s="32">
        <v>45992</v>
      </c>
      <c r="C45" s="35">
        <v>102</v>
      </c>
      <c r="D45" s="23">
        <v>211</v>
      </c>
      <c r="E45" s="23">
        <v>8</v>
      </c>
      <c r="F45" s="23">
        <v>0</v>
      </c>
      <c r="G45" s="23">
        <v>5</v>
      </c>
      <c r="H45" s="36">
        <v>100</v>
      </c>
      <c r="I45" s="37">
        <v>320</v>
      </c>
      <c r="J45" s="23">
        <v>110</v>
      </c>
      <c r="K45" s="23">
        <v>110</v>
      </c>
      <c r="L45" s="23">
        <v>0</v>
      </c>
      <c r="M45" s="23">
        <v>2</v>
      </c>
      <c r="N45" s="84"/>
      <c r="O45" s="84"/>
      <c r="P45" s="23">
        <v>2</v>
      </c>
      <c r="Q45" s="23">
        <v>13</v>
      </c>
    </row>
    <row r="46" spans="1:17" x14ac:dyDescent="0.3">
      <c r="A46" s="68"/>
      <c r="B46" s="32">
        <v>46023</v>
      </c>
      <c r="C46" s="35">
        <v>58</v>
      </c>
      <c r="D46" s="23">
        <v>347</v>
      </c>
      <c r="E46" s="23">
        <v>8</v>
      </c>
      <c r="F46" s="23">
        <v>25</v>
      </c>
      <c r="G46" s="23">
        <v>0</v>
      </c>
      <c r="H46" s="36">
        <v>0</v>
      </c>
      <c r="I46" s="37">
        <v>160</v>
      </c>
      <c r="J46" s="23">
        <v>60</v>
      </c>
      <c r="K46" s="23">
        <v>210</v>
      </c>
      <c r="L46" s="23">
        <v>0</v>
      </c>
      <c r="M46" s="23">
        <v>0</v>
      </c>
      <c r="N46" s="84"/>
      <c r="O46" s="84"/>
      <c r="P46" s="23">
        <v>1</v>
      </c>
      <c r="Q46" s="23">
        <v>11</v>
      </c>
    </row>
    <row r="47" spans="1:17" x14ac:dyDescent="0.3">
      <c r="A47" s="68"/>
      <c r="B47" s="32">
        <v>46054</v>
      </c>
      <c r="C47" s="35">
        <v>65</v>
      </c>
      <c r="D47" s="23">
        <v>412</v>
      </c>
      <c r="E47" s="23">
        <v>7</v>
      </c>
      <c r="F47" s="23">
        <v>0</v>
      </c>
      <c r="G47" s="23">
        <v>16</v>
      </c>
      <c r="H47" s="36">
        <v>555</v>
      </c>
      <c r="I47" s="37">
        <v>100</v>
      </c>
      <c r="J47" s="23">
        <v>85</v>
      </c>
      <c r="K47" s="23">
        <v>185</v>
      </c>
      <c r="L47" s="23">
        <v>12</v>
      </c>
      <c r="M47" s="23">
        <f>21+13</f>
        <v>34</v>
      </c>
      <c r="N47" s="84"/>
      <c r="O47" s="84"/>
      <c r="P47" s="23">
        <v>1</v>
      </c>
      <c r="Q47" s="23">
        <v>13</v>
      </c>
    </row>
    <row r="48" spans="1:17" x14ac:dyDescent="0.3">
      <c r="A48" s="68"/>
      <c r="B48" s="32">
        <v>46082</v>
      </c>
      <c r="C48" s="35">
        <v>70</v>
      </c>
      <c r="D48" s="23">
        <v>116</v>
      </c>
      <c r="E48" s="23">
        <v>4</v>
      </c>
      <c r="F48" s="23">
        <v>0</v>
      </c>
      <c r="G48" s="23">
        <v>0</v>
      </c>
      <c r="H48" s="36">
        <v>0</v>
      </c>
      <c r="I48" s="59">
        <v>130</v>
      </c>
      <c r="J48" s="23">
        <v>90</v>
      </c>
      <c r="K48" s="23">
        <v>180</v>
      </c>
      <c r="L48" s="23">
        <v>0</v>
      </c>
      <c r="M48" s="23">
        <v>0</v>
      </c>
      <c r="N48" s="84"/>
      <c r="O48" s="84"/>
      <c r="P48" s="23">
        <v>0</v>
      </c>
      <c r="Q48" s="23">
        <v>9</v>
      </c>
    </row>
    <row r="49" spans="1:17" x14ac:dyDescent="0.3">
      <c r="A49" s="68"/>
      <c r="B49" s="32">
        <v>46113</v>
      </c>
      <c r="C49" s="35">
        <v>52</v>
      </c>
      <c r="D49" s="23">
        <v>79</v>
      </c>
      <c r="E49" s="23">
        <v>2</v>
      </c>
      <c r="F49" s="23">
        <v>0</v>
      </c>
      <c r="G49" s="23">
        <v>0</v>
      </c>
      <c r="H49" s="36">
        <v>200</v>
      </c>
      <c r="I49" s="59">
        <v>140</v>
      </c>
      <c r="J49" s="23">
        <v>70</v>
      </c>
      <c r="K49" s="23">
        <v>40</v>
      </c>
      <c r="L49" s="23">
        <v>12</v>
      </c>
      <c r="M49" s="23">
        <v>38</v>
      </c>
      <c r="N49" s="84"/>
      <c r="O49" s="84"/>
      <c r="P49" s="23">
        <v>0</v>
      </c>
      <c r="Q49" s="23">
        <v>21</v>
      </c>
    </row>
    <row r="50" spans="1:17" x14ac:dyDescent="0.3">
      <c r="A50" s="68"/>
      <c r="B50" s="32">
        <v>46143</v>
      </c>
      <c r="C50" s="35">
        <v>48</v>
      </c>
      <c r="D50" s="23">
        <v>85</v>
      </c>
      <c r="E50" s="23">
        <v>1</v>
      </c>
      <c r="F50" s="23">
        <v>0</v>
      </c>
      <c r="G50" s="23">
        <v>13</v>
      </c>
      <c r="H50" s="36">
        <v>210</v>
      </c>
      <c r="I50" s="59">
        <v>180</v>
      </c>
      <c r="J50" s="23">
        <v>70</v>
      </c>
      <c r="K50" s="23">
        <v>45</v>
      </c>
      <c r="L50" s="23">
        <v>16</v>
      </c>
      <c r="M50" s="23">
        <v>29</v>
      </c>
      <c r="N50" s="84"/>
      <c r="O50" s="84"/>
      <c r="P50" s="23">
        <v>2</v>
      </c>
      <c r="Q50" s="23">
        <v>52</v>
      </c>
    </row>
    <row r="51" spans="1:17" x14ac:dyDescent="0.3">
      <c r="A51" s="68"/>
      <c r="B51" s="32">
        <v>46174</v>
      </c>
      <c r="C51" s="35">
        <v>20</v>
      </c>
      <c r="D51" s="23">
        <v>78</v>
      </c>
      <c r="E51" s="23">
        <v>1</v>
      </c>
      <c r="F51" s="23">
        <v>0</v>
      </c>
      <c r="G51" s="23">
        <v>0</v>
      </c>
      <c r="H51" s="36">
        <v>0</v>
      </c>
      <c r="I51" s="59">
        <v>160</v>
      </c>
      <c r="J51" s="23">
        <v>75</v>
      </c>
      <c r="K51" s="23">
        <v>30</v>
      </c>
      <c r="L51" s="23">
        <v>0</v>
      </c>
      <c r="M51" s="23">
        <v>0</v>
      </c>
      <c r="N51" s="84"/>
      <c r="O51" s="84"/>
      <c r="P51" s="23">
        <v>1</v>
      </c>
      <c r="Q51" s="23">
        <v>21</v>
      </c>
    </row>
    <row r="52" spans="1:17" ht="15" thickBot="1" x14ac:dyDescent="0.35">
      <c r="A52" s="68"/>
      <c r="B52" s="30">
        <v>46204</v>
      </c>
      <c r="C52" s="38">
        <v>30</v>
      </c>
      <c r="D52" s="24">
        <v>33</v>
      </c>
      <c r="E52" s="24">
        <v>1</v>
      </c>
      <c r="F52" s="24">
        <v>0</v>
      </c>
      <c r="G52" s="24">
        <v>12</v>
      </c>
      <c r="H52" s="39">
        <v>150</v>
      </c>
      <c r="I52" s="60">
        <v>180</v>
      </c>
      <c r="J52" s="40">
        <v>90</v>
      </c>
      <c r="K52" s="24">
        <v>45</v>
      </c>
      <c r="L52" s="24">
        <v>0</v>
      </c>
      <c r="M52" s="24">
        <v>0</v>
      </c>
      <c r="N52" s="85"/>
      <c r="O52" s="85"/>
      <c r="P52" s="24">
        <v>1</v>
      </c>
      <c r="Q52" s="24">
        <v>22</v>
      </c>
    </row>
    <row r="53" spans="1:17" s="1" customFormat="1" ht="15" thickBot="1" x14ac:dyDescent="0.35">
      <c r="A53" s="68"/>
      <c r="B53" s="45" t="s">
        <v>0</v>
      </c>
      <c r="C53" s="47">
        <f t="shared" ref="C53:Q53" si="6">+C44+C45+C46+C47+C48+C49+C50+C51+C52</f>
        <v>475</v>
      </c>
      <c r="D53" s="48">
        <f t="shared" si="6"/>
        <v>1521</v>
      </c>
      <c r="E53" s="48">
        <f t="shared" si="6"/>
        <v>34</v>
      </c>
      <c r="F53" s="48">
        <f t="shared" si="6"/>
        <v>25</v>
      </c>
      <c r="G53" s="48">
        <f t="shared" si="6"/>
        <v>133</v>
      </c>
      <c r="H53" s="49">
        <f t="shared" si="6"/>
        <v>2170</v>
      </c>
      <c r="I53" s="50">
        <f t="shared" si="6"/>
        <v>1610</v>
      </c>
      <c r="J53" s="50">
        <f t="shared" si="6"/>
        <v>740</v>
      </c>
      <c r="K53" s="48">
        <f t="shared" si="6"/>
        <v>885</v>
      </c>
      <c r="L53" s="48">
        <f t="shared" si="6"/>
        <v>45</v>
      </c>
      <c r="M53" s="48">
        <f t="shared" si="6"/>
        <v>164</v>
      </c>
      <c r="N53" s="48">
        <f t="shared" si="6"/>
        <v>2000</v>
      </c>
      <c r="O53" s="48">
        <f t="shared" si="6"/>
        <v>2000</v>
      </c>
      <c r="P53" s="48">
        <f t="shared" si="6"/>
        <v>8</v>
      </c>
      <c r="Q53" s="48">
        <f t="shared" si="6"/>
        <v>189</v>
      </c>
    </row>
    <row r="54" spans="1:17" s="56" customFormat="1" ht="18.600000000000001" thickBot="1" x14ac:dyDescent="0.4">
      <c r="A54" s="86" t="s">
        <v>16</v>
      </c>
      <c r="B54" s="87"/>
      <c r="C54" s="53">
        <f t="shared" ref="C54:Q54" si="7">+C53+C43+C33+C23+C13</f>
        <v>2813</v>
      </c>
      <c r="D54" s="54">
        <f t="shared" si="7"/>
        <v>6313</v>
      </c>
      <c r="E54" s="54">
        <f t="shared" si="7"/>
        <v>226</v>
      </c>
      <c r="F54" s="54">
        <f t="shared" si="7"/>
        <v>1455</v>
      </c>
      <c r="G54" s="54">
        <f t="shared" si="7"/>
        <v>1258</v>
      </c>
      <c r="H54" s="55">
        <f t="shared" si="7"/>
        <v>14164</v>
      </c>
      <c r="I54" s="54">
        <f t="shared" si="7"/>
        <v>7005</v>
      </c>
      <c r="J54" s="54">
        <f t="shared" si="7"/>
        <v>2760</v>
      </c>
      <c r="K54" s="54">
        <f t="shared" si="7"/>
        <v>3331</v>
      </c>
      <c r="L54" s="54">
        <f t="shared" si="7"/>
        <v>247</v>
      </c>
      <c r="M54" s="54">
        <f t="shared" si="7"/>
        <v>904</v>
      </c>
      <c r="N54" s="54">
        <f t="shared" si="7"/>
        <v>12000</v>
      </c>
      <c r="O54" s="54">
        <f t="shared" si="7"/>
        <v>10000</v>
      </c>
      <c r="P54" s="54">
        <f t="shared" si="7"/>
        <v>134</v>
      </c>
      <c r="Q54" s="54">
        <f t="shared" si="7"/>
        <v>972</v>
      </c>
    </row>
  </sheetData>
  <mergeCells count="21">
    <mergeCell ref="A4:A13"/>
    <mergeCell ref="A1:Q1"/>
    <mergeCell ref="A2:A3"/>
    <mergeCell ref="B2:B3"/>
    <mergeCell ref="C2:H2"/>
    <mergeCell ref="J2:Q2"/>
    <mergeCell ref="N4:N12"/>
    <mergeCell ref="A54:B54"/>
    <mergeCell ref="A44:A53"/>
    <mergeCell ref="A34:A43"/>
    <mergeCell ref="A24:A33"/>
    <mergeCell ref="A14:A23"/>
    <mergeCell ref="N14:N22"/>
    <mergeCell ref="N24:N32"/>
    <mergeCell ref="N34:N42"/>
    <mergeCell ref="N44:N52"/>
    <mergeCell ref="O4:O12"/>
    <mergeCell ref="O14:O22"/>
    <mergeCell ref="O24:O32"/>
    <mergeCell ref="O34:O42"/>
    <mergeCell ref="O44:O52"/>
  </mergeCells>
  <printOptions horizontalCentered="1" verticalCentered="1"/>
  <pageMargins left="0" right="0" top="0" bottom="0" header="0" footer="0"/>
  <pageSetup paperSize="9"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DT and Line Maintenance</vt:lpstr>
      <vt:lpstr>DT and Line Survey</vt:lpstr>
      <vt:lpstr>'DT and Line Maintenance'!Print_Area</vt:lpstr>
      <vt:lpstr>'DT and Line Survey'!Print_Area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Singh</dc:creator>
  <cp:lastModifiedBy>Ali Khan</cp:lastModifiedBy>
  <cp:lastPrinted>2026-08-01T14:44:50Z</cp:lastPrinted>
  <dcterms:created xsi:type="dcterms:W3CDTF">2015-06-05T18:17:20Z</dcterms:created>
  <dcterms:modified xsi:type="dcterms:W3CDTF">2026-08-03T06:09:17Z</dcterms:modified>
</cp:coreProperties>
</file>